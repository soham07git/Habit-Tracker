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rials\Habit-tracker\"/>
    </mc:Choice>
  </mc:AlternateContent>
  <xr:revisionPtr revIDLastSave="0" documentId="8_{2B4ACEBF-F368-44EC-AD0F-B933585D0215}" xr6:coauthVersionLast="47" xr6:coauthVersionMax="47" xr10:uidLastSave="{00000000-0000-0000-0000-000000000000}"/>
  <bookViews>
    <workbookView xWindow="-108" yWindow="-108" windowWidth="23256" windowHeight="12456" xr2:uid="{BB8CAD1F-7FEC-4C5B-9134-9E7AD162805E}"/>
  </bookViews>
  <sheets>
    <sheet name="Weekly Habit Tracker" sheetId="1" r:id="rId1"/>
    <sheet name="Helper Data" sheetId="2" state="hidden" r:id="rId2"/>
    <sheet name="©" sheetId="3" r:id="rId3"/>
  </sheets>
  <definedNames>
    <definedName name="Category">#REF!</definedName>
    <definedName name="Trans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AI34" i="1"/>
  <c r="AH34" i="1"/>
  <c r="AG34" i="1"/>
  <c r="AF34" i="1"/>
  <c r="AE34" i="1"/>
  <c r="AD34" i="1"/>
  <c r="AC34" i="1"/>
  <c r="W34" i="1"/>
  <c r="V34" i="1"/>
  <c r="U34" i="1"/>
  <c r="T34" i="1"/>
  <c r="S34" i="1"/>
  <c r="R34" i="1"/>
  <c r="Q34" i="1"/>
  <c r="K34" i="1"/>
  <c r="J34" i="1"/>
  <c r="I34" i="1"/>
  <c r="H34" i="1"/>
  <c r="G34" i="1"/>
  <c r="F34" i="1"/>
  <c r="E34" i="1"/>
  <c r="AH32" i="1"/>
  <c r="V32" i="1"/>
  <c r="J32" i="1"/>
  <c r="AI22" i="1"/>
  <c r="AH22" i="1"/>
  <c r="AG22" i="1"/>
  <c r="AF22" i="1"/>
  <c r="AE22" i="1"/>
  <c r="AD22" i="1"/>
  <c r="AC22" i="1"/>
  <c r="W22" i="1"/>
  <c r="V22" i="1"/>
  <c r="U22" i="1"/>
  <c r="T22" i="1"/>
  <c r="S22" i="1"/>
  <c r="R22" i="1"/>
  <c r="Q22" i="1"/>
  <c r="K22" i="1"/>
  <c r="J22" i="1"/>
  <c r="I22" i="1"/>
  <c r="H22" i="1"/>
  <c r="G22" i="1"/>
  <c r="F22" i="1"/>
  <c r="E22" i="1"/>
  <c r="AH20" i="1"/>
  <c r="V20" i="1"/>
  <c r="J20" i="1"/>
  <c r="AI10" i="1"/>
  <c r="AH10" i="1"/>
  <c r="AG10" i="1"/>
  <c r="AF10" i="1"/>
  <c r="AE10" i="1"/>
  <c r="AD10" i="1"/>
  <c r="AC10" i="1"/>
  <c r="AH8" i="1"/>
  <c r="W10" i="1"/>
  <c r="V10" i="1"/>
  <c r="U10" i="1"/>
  <c r="T10" i="1"/>
  <c r="S10" i="1"/>
  <c r="R10" i="1"/>
  <c r="Q10" i="1"/>
  <c r="V8" i="1"/>
  <c r="AI20" i="1" l="1"/>
  <c r="AF25" i="1" s="1"/>
  <c r="AI32" i="1"/>
  <c r="AF37" i="1" s="1"/>
  <c r="W8" i="1"/>
  <c r="K32" i="1"/>
  <c r="H37" i="1" s="1"/>
  <c r="AI8" i="1"/>
  <c r="AF13" i="1" s="1"/>
  <c r="W32" i="1"/>
  <c r="T37" i="1" s="1"/>
  <c r="K20" i="1"/>
  <c r="H25" i="1" s="1"/>
  <c r="W20" i="1"/>
  <c r="T25" i="1" s="1"/>
  <c r="T13" i="1" l="1"/>
  <c r="J9" i="1"/>
  <c r="I11" i="1" s="1"/>
  <c r="C13" i="1" s="1"/>
  <c r="A3" i="2" l="1"/>
  <c r="C3" i="2" l="1"/>
  <c r="D3" i="2" s="1"/>
  <c r="C4" i="2"/>
  <c r="D4" i="2" s="1"/>
  <c r="A2" i="2"/>
  <c r="C2" i="2"/>
  <c r="C9" i="1" s="1"/>
  <c r="B2" i="2"/>
  <c r="AA13" i="1" l="1"/>
  <c r="O13" i="1"/>
  <c r="O37" i="1"/>
  <c r="AA37" i="1"/>
  <c r="C25" i="1"/>
  <c r="C37" i="1"/>
  <c r="O25" i="1"/>
  <c r="AA25" i="1"/>
  <c r="C7" i="1"/>
</calcChain>
</file>

<file path=xl/sharedStrings.xml><?xml version="1.0" encoding="utf-8"?>
<sst xmlns="http://schemas.openxmlformats.org/spreadsheetml/2006/main" count="113" uniqueCount="40">
  <si>
    <t>PLANNED</t>
  </si>
  <si>
    <t>COMPLETED</t>
  </si>
  <si>
    <t>M</t>
  </si>
  <si>
    <t>T</t>
  </si>
  <si>
    <t>W</t>
  </si>
  <si>
    <t>F</t>
  </si>
  <si>
    <t>S</t>
  </si>
  <si>
    <t>X</t>
  </si>
  <si>
    <t>TODAY:</t>
  </si>
  <si>
    <t>DAY No:</t>
  </si>
  <si>
    <t>Only Tuesday</t>
  </si>
  <si>
    <t>Only Monday</t>
  </si>
  <si>
    <t>Only Wednesday</t>
  </si>
  <si>
    <t>Complete Week</t>
  </si>
  <si>
    <t>Mon, Tue, Wed, Thu, Fri</t>
  </si>
  <si>
    <t>Custom -&gt;</t>
  </si>
  <si>
    <t>Only Thursday</t>
  </si>
  <si>
    <t>Mon, Tue, Wed</t>
  </si>
  <si>
    <t>Tue, Thu, Sat</t>
  </si>
  <si>
    <t>WEEKLY</t>
  </si>
  <si>
    <t>HABIT TRACKER</t>
  </si>
  <si>
    <t>CURRENT WEEK:</t>
  </si>
  <si>
    <t>WEEKLY PROGRESS:</t>
  </si>
  <si>
    <t>GET UP EARLY</t>
  </si>
  <si>
    <t>PREPARE HEALTHY SNACK</t>
  </si>
  <si>
    <t>⏰</t>
  </si>
  <si>
    <t>🍎</t>
  </si>
  <si>
    <t>JOGGING 30 MIN</t>
  </si>
  <si>
    <t>👟</t>
  </si>
  <si>
    <t>🗼</t>
  </si>
  <si>
    <t>GO TO MUSEUM</t>
  </si>
  <si>
    <t>🏛️</t>
  </si>
  <si>
    <t>LUNCH WITH DEBORAH</t>
  </si>
  <si>
    <t>🍽️</t>
  </si>
  <si>
    <t>GARDENING</t>
  </si>
  <si>
    <t>🌳</t>
  </si>
  <si>
    <t>READ BOOKS</t>
  </si>
  <si>
    <t>📖</t>
  </si>
  <si>
    <t>FRENCH LESSONS</t>
  </si>
  <si>
    <t>© TemplateLab.com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</si>
</sst>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mmm\ d\,\ yy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sz val="12"/>
      <color theme="1"/>
      <name val="Bahnschrift"/>
      <family val="2"/>
    </font>
    <font>
      <sz val="9"/>
      <color theme="1"/>
      <name val="Bahnschrift"/>
      <family val="2"/>
    </font>
    <font>
      <sz val="9"/>
      <color theme="1" tint="0.249977111117893"/>
      <name val="Bahnschrift"/>
      <family val="2"/>
    </font>
    <font>
      <b/>
      <sz val="10"/>
      <color theme="1" tint="0.249977111117893"/>
      <name val="Bahnschrift"/>
      <family val="2"/>
    </font>
    <font>
      <b/>
      <sz val="14"/>
      <color theme="1"/>
      <name val="Bahnschrift"/>
      <family val="2"/>
    </font>
    <font>
      <sz val="9"/>
      <color theme="0"/>
      <name val="Bahnschrift"/>
      <family val="2"/>
    </font>
    <font>
      <b/>
      <sz val="36"/>
      <color rgb="FFFFB900"/>
      <name val="Bahnschrift"/>
      <family val="2"/>
    </font>
    <font>
      <sz val="12"/>
      <color theme="1" tint="0.249977111117893"/>
      <name val="Bahnschrift"/>
      <family val="2"/>
    </font>
    <font>
      <b/>
      <sz val="14"/>
      <color theme="1" tint="0.249977111117893"/>
      <name val="Bahnschrift"/>
      <family val="2"/>
    </font>
    <font>
      <b/>
      <sz val="18"/>
      <color rgb="FFFFB900"/>
      <name val="Bahnschrift"/>
      <family val="2"/>
    </font>
    <font>
      <b/>
      <sz val="22"/>
      <color theme="1" tint="0.249977111117893"/>
      <name val="Bahnschrift"/>
      <family val="2"/>
    </font>
    <font>
      <b/>
      <sz val="8"/>
      <color rgb="FFF6F0E4"/>
      <name val="Bahnschrift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0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 indent="1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 indent="1"/>
    </xf>
    <xf numFmtId="0" fontId="1" fillId="3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0" borderId="0" xfId="1"/>
    <xf numFmtId="0" fontId="1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2" fontId="3" fillId="4" borderId="16" xfId="0" applyNumberFormat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9" fontId="11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indent="1"/>
    </xf>
  </cellXfs>
  <cellStyles count="2">
    <cellStyle name="Hyperlink 2" xfId="1" xr:uid="{85611A09-E003-4B8C-BD43-3B6C612A5072}"/>
    <cellStyle name="Normal" xfId="0" builtinId="0"/>
  </cellStyles>
  <dxfs count="16">
    <dxf>
      <font>
        <color rgb="FF00B798"/>
      </font>
    </dxf>
    <dxf>
      <font>
        <color rgb="FFF25A50"/>
      </font>
    </dxf>
    <dxf>
      <font>
        <color rgb="FF00B798"/>
      </font>
    </dxf>
    <dxf>
      <font>
        <color rgb="FFF25A50"/>
      </font>
    </dxf>
    <dxf>
      <font>
        <color rgb="FF00B798"/>
      </font>
    </dxf>
    <dxf>
      <font>
        <color rgb="FFF25A50"/>
      </font>
    </dxf>
    <dxf>
      <font>
        <color rgb="FF00B798"/>
      </font>
    </dxf>
    <dxf>
      <font>
        <color rgb="FFF25A50"/>
      </font>
    </dxf>
    <dxf>
      <font>
        <color rgb="FF00B798"/>
      </font>
    </dxf>
    <dxf>
      <font>
        <color rgb="FFF25A50"/>
      </font>
    </dxf>
    <dxf>
      <font>
        <color rgb="FF00B798"/>
      </font>
    </dxf>
    <dxf>
      <font>
        <color rgb="FFF25A50"/>
      </font>
    </dxf>
    <dxf>
      <font>
        <color rgb="FF00B798"/>
      </font>
    </dxf>
    <dxf>
      <font>
        <color rgb="FFF25A50"/>
      </font>
    </dxf>
    <dxf>
      <font>
        <color rgb="FF00B798"/>
      </font>
    </dxf>
    <dxf>
      <font>
        <color rgb="FFF25A50"/>
      </font>
    </dxf>
  </dxfs>
  <tableStyles count="0" defaultTableStyle="TableStyleMedium2" defaultPivotStyle="PivotStyleLight16"/>
  <colors>
    <mruColors>
      <color rgb="FFF6F0E4"/>
      <color rgb="FFFFB900"/>
      <color rgb="FFF25A50"/>
      <color rgb="FF00B7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33128</xdr:colOff>
      <xdr:row>1</xdr:row>
      <xdr:rowOff>66262</xdr:rowOff>
    </xdr:from>
    <xdr:to>
      <xdr:col>35</xdr:col>
      <xdr:colOff>57149</xdr:colOff>
      <xdr:row>1</xdr:row>
      <xdr:rowOff>218794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175CE60-AB40-069D-3F73-613D3CC0F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391" y="266287"/>
          <a:ext cx="6234321" cy="152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FD0D2-524B-4EB0-97F1-9F23F0076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DCBD-7C82-4F56-BA73-D2159DE893D3}">
  <dimension ref="A1:AK39"/>
  <sheetViews>
    <sheetView tabSelected="1" topLeftCell="A5" zoomScale="76" zoomScaleNormal="130" workbookViewId="0">
      <selection activeCell="O7" sqref="O7:Q7"/>
    </sheetView>
  </sheetViews>
  <sheetFormatPr defaultRowHeight="13.2" x14ac:dyDescent="0.3"/>
  <cols>
    <col min="1" max="1" width="4.77734375" style="2" customWidth="1"/>
    <col min="2" max="2" width="1.109375" style="2" customWidth="1"/>
    <col min="3" max="3" width="4.33203125" style="2" customWidth="1"/>
    <col min="4" max="4" width="8.88671875" style="1" customWidth="1"/>
    <col min="5" max="11" width="4" style="2" customWidth="1"/>
    <col min="12" max="12" width="1.109375" style="2" customWidth="1"/>
    <col min="13" max="13" width="4.44140625" style="2" customWidth="1"/>
    <col min="14" max="14" width="1.109375" style="2" customWidth="1"/>
    <col min="15" max="15" width="4.33203125" style="2" customWidth="1"/>
    <col min="16" max="16" width="8.88671875" style="1"/>
    <col min="17" max="23" width="4" style="2" customWidth="1"/>
    <col min="24" max="24" width="1.109375" style="2" customWidth="1"/>
    <col min="25" max="25" width="4.44140625" style="2" customWidth="1"/>
    <col min="26" max="26" width="1.109375" style="2" customWidth="1"/>
    <col min="27" max="27" width="4.33203125" style="2" customWidth="1"/>
    <col min="28" max="28" width="8.88671875" style="1"/>
    <col min="29" max="35" width="4" style="2" customWidth="1"/>
    <col min="36" max="36" width="1.109375" style="2" customWidth="1"/>
    <col min="37" max="37" width="4.77734375" style="2" customWidth="1"/>
    <col min="38" max="16384" width="8.88671875" style="2"/>
  </cols>
  <sheetData>
    <row r="1" spans="1:37" ht="15.6" customHeight="1" x14ac:dyDescent="0.3">
      <c r="A1" s="25"/>
      <c r="B1" s="25"/>
      <c r="C1" s="25"/>
      <c r="D1" s="27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7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7"/>
      <c r="AC1" s="25"/>
      <c r="AD1" s="25"/>
      <c r="AE1" s="25"/>
      <c r="AF1" s="25"/>
      <c r="AG1" s="25"/>
      <c r="AH1" s="25"/>
      <c r="AI1" s="25"/>
      <c r="AJ1" s="25"/>
      <c r="AK1" s="25"/>
    </row>
    <row r="2" spans="1:37" ht="21.6" customHeight="1" x14ac:dyDescent="0.3">
      <c r="A2" s="25"/>
      <c r="B2" s="37" t="s">
        <v>19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2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25"/>
    </row>
    <row r="3" spans="1:37" ht="17.55" customHeight="1" x14ac:dyDescent="0.3">
      <c r="A3" s="25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25"/>
      <c r="N3" s="25"/>
      <c r="O3" s="25"/>
      <c r="P3" s="27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7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6.6" customHeight="1" x14ac:dyDescent="0.3">
      <c r="A4" s="25"/>
      <c r="B4" s="25"/>
      <c r="C4" s="38" t="s">
        <v>20</v>
      </c>
      <c r="D4" s="38"/>
      <c r="E4" s="38"/>
      <c r="F4" s="38"/>
      <c r="G4" s="38"/>
      <c r="H4" s="38"/>
      <c r="I4" s="38"/>
      <c r="J4" s="38"/>
      <c r="K4" s="38"/>
      <c r="L4" s="38"/>
      <c r="M4" s="25"/>
      <c r="N4" s="16"/>
      <c r="O4" s="17"/>
      <c r="P4" s="18"/>
      <c r="Q4" s="17"/>
      <c r="R4" s="17"/>
      <c r="S4" s="17"/>
      <c r="T4" s="17"/>
      <c r="U4" s="17"/>
      <c r="V4" s="17"/>
      <c r="W4" s="17"/>
      <c r="X4" s="8"/>
      <c r="Y4" s="25"/>
      <c r="Z4" s="16"/>
      <c r="AA4" s="17"/>
      <c r="AB4" s="18"/>
      <c r="AC4" s="17"/>
      <c r="AD4" s="17"/>
      <c r="AE4" s="17"/>
      <c r="AF4" s="17"/>
      <c r="AG4" s="17"/>
      <c r="AH4" s="17"/>
      <c r="AI4" s="17"/>
      <c r="AJ4" s="8"/>
      <c r="AK4" s="25"/>
    </row>
    <row r="5" spans="1:37" ht="19.95" customHeight="1" x14ac:dyDescent="0.3">
      <c r="A5" s="25"/>
      <c r="B5" s="25"/>
      <c r="C5" s="38"/>
      <c r="D5" s="38"/>
      <c r="E5" s="38"/>
      <c r="F5" s="38"/>
      <c r="G5" s="38"/>
      <c r="H5" s="38"/>
      <c r="I5" s="38"/>
      <c r="J5" s="38"/>
      <c r="K5" s="38"/>
      <c r="L5" s="38"/>
      <c r="M5" s="26"/>
      <c r="N5" s="19"/>
      <c r="O5" s="32" t="s">
        <v>25</v>
      </c>
      <c r="P5" s="50" t="s">
        <v>23</v>
      </c>
      <c r="Q5" s="50"/>
      <c r="R5" s="50"/>
      <c r="S5" s="50"/>
      <c r="T5" s="50"/>
      <c r="U5" s="50"/>
      <c r="V5" s="50"/>
      <c r="W5" s="50"/>
      <c r="X5" s="9"/>
      <c r="Y5" s="26"/>
      <c r="Z5" s="19"/>
      <c r="AA5" s="33" t="s">
        <v>26</v>
      </c>
      <c r="AB5" s="50" t="s">
        <v>24</v>
      </c>
      <c r="AC5" s="50"/>
      <c r="AD5" s="50"/>
      <c r="AE5" s="50"/>
      <c r="AF5" s="50"/>
      <c r="AG5" s="50"/>
      <c r="AH5" s="50"/>
      <c r="AI5" s="50"/>
      <c r="AJ5" s="9"/>
      <c r="AK5" s="26"/>
    </row>
    <row r="6" spans="1:37" ht="7.8" customHeight="1" x14ac:dyDescent="0.3">
      <c r="A6" s="25"/>
      <c r="B6" s="25"/>
      <c r="C6" s="26"/>
      <c r="D6" s="28"/>
      <c r="E6" s="26"/>
      <c r="F6" s="26"/>
      <c r="G6" s="26"/>
      <c r="H6" s="26"/>
      <c r="I6" s="26"/>
      <c r="J6" s="26"/>
      <c r="K6" s="26"/>
      <c r="L6" s="26"/>
      <c r="M6" s="26"/>
      <c r="N6" s="19"/>
      <c r="O6" s="13"/>
      <c r="P6" s="20"/>
      <c r="Q6" s="13"/>
      <c r="R6" s="13"/>
      <c r="S6" s="13"/>
      <c r="T6" s="13"/>
      <c r="U6" s="13"/>
      <c r="V6" s="13"/>
      <c r="W6" s="13"/>
      <c r="X6" s="9"/>
      <c r="Y6" s="26"/>
      <c r="Z6" s="19"/>
      <c r="AA6" s="13"/>
      <c r="AB6" s="20"/>
      <c r="AC6" s="13"/>
      <c r="AD6" s="13"/>
      <c r="AE6" s="13"/>
      <c r="AF6" s="13"/>
      <c r="AG6" s="13"/>
      <c r="AH6" s="13"/>
      <c r="AI6" s="13"/>
      <c r="AJ6" s="9"/>
      <c r="AK6" s="26"/>
    </row>
    <row r="7" spans="1:37" ht="19.95" customHeight="1" x14ac:dyDescent="0.3">
      <c r="A7" s="25"/>
      <c r="B7" s="25"/>
      <c r="C7" s="39" t="str">
        <f ca="1">'Helper Data'!D3&amp;" - "&amp;'Helper Data'!D4</f>
        <v>January 19 - January 25</v>
      </c>
      <c r="D7" s="39"/>
      <c r="E7" s="39"/>
      <c r="F7" s="39"/>
      <c r="G7" s="39"/>
      <c r="H7" s="39"/>
      <c r="I7" s="39"/>
      <c r="J7" s="39"/>
      <c r="K7" s="39"/>
      <c r="L7" s="26"/>
      <c r="M7" s="26"/>
      <c r="N7" s="19"/>
      <c r="O7" s="51" t="s">
        <v>15</v>
      </c>
      <c r="P7" s="52"/>
      <c r="Q7" s="53"/>
      <c r="R7" s="54" t="s">
        <v>14</v>
      </c>
      <c r="S7" s="55"/>
      <c r="T7" s="55"/>
      <c r="U7" s="55"/>
      <c r="V7" s="55"/>
      <c r="W7" s="55"/>
      <c r="X7" s="9"/>
      <c r="Y7" s="26"/>
      <c r="Z7" s="19"/>
      <c r="AA7" s="51" t="s">
        <v>13</v>
      </c>
      <c r="AB7" s="52"/>
      <c r="AC7" s="53"/>
      <c r="AD7" s="54"/>
      <c r="AE7" s="55"/>
      <c r="AF7" s="55"/>
      <c r="AG7" s="55"/>
      <c r="AH7" s="55"/>
      <c r="AI7" s="55"/>
      <c r="AJ7" s="9"/>
      <c r="AK7" s="26"/>
    </row>
    <row r="8" spans="1:37" ht="12" customHeight="1" thickBot="1" x14ac:dyDescent="0.35">
      <c r="A8" s="25"/>
      <c r="B8" s="25"/>
      <c r="C8" s="39"/>
      <c r="D8" s="39"/>
      <c r="E8" s="39"/>
      <c r="F8" s="39"/>
      <c r="G8" s="39"/>
      <c r="H8" s="39"/>
      <c r="I8" s="39"/>
      <c r="J8" s="39"/>
      <c r="K8" s="39"/>
      <c r="L8" s="26"/>
      <c r="M8" s="26"/>
      <c r="N8" s="19"/>
      <c r="O8" s="14"/>
      <c r="P8" s="15"/>
      <c r="Q8" s="14"/>
      <c r="R8" s="14"/>
      <c r="S8" s="13"/>
      <c r="T8" s="13"/>
      <c r="U8" s="13"/>
      <c r="V8" s="24">
        <f>COUNTIF(Q11:W11,"X")</f>
        <v>2</v>
      </c>
      <c r="W8" s="24">
        <f>COUNTIF(Q10:W10,"▣")</f>
        <v>5</v>
      </c>
      <c r="X8" s="9"/>
      <c r="Y8" s="26"/>
      <c r="Z8" s="19"/>
      <c r="AA8" s="14"/>
      <c r="AB8" s="15"/>
      <c r="AC8" s="14"/>
      <c r="AD8" s="14"/>
      <c r="AE8" s="13"/>
      <c r="AF8" s="13"/>
      <c r="AG8" s="13"/>
      <c r="AH8" s="24">
        <f>COUNTIF(AC11:AI11,"X")</f>
        <v>2</v>
      </c>
      <c r="AI8" s="24">
        <f>COUNTIF(AC10:AI10,"▣")</f>
        <v>7</v>
      </c>
      <c r="AJ8" s="9"/>
      <c r="AK8" s="26"/>
    </row>
    <row r="9" spans="1:37" ht="19.95" customHeight="1" thickTop="1" thickBot="1" x14ac:dyDescent="0.35">
      <c r="A9" s="25"/>
      <c r="B9" s="25"/>
      <c r="C9" s="46" t="str">
        <f ca="1">"Week #: "&amp;'Helper Data'!C2</f>
        <v>Week #: 4</v>
      </c>
      <c r="D9" s="46"/>
      <c r="E9" s="46"/>
      <c r="F9" s="46"/>
      <c r="G9" s="46"/>
      <c r="H9" s="46"/>
      <c r="I9" s="31">
        <f>SUM(V8,AH8,J20,V20,AH20,J32,V32,AH32)</f>
        <v>7</v>
      </c>
      <c r="J9" s="31">
        <f>SUM(W8,AI8,K20,W20,AI20,K32,W32,AI32)</f>
        <v>26</v>
      </c>
      <c r="K9" s="30"/>
      <c r="L9" s="30"/>
      <c r="M9" s="26"/>
      <c r="N9" s="19"/>
      <c r="O9" s="47"/>
      <c r="P9" s="48"/>
      <c r="Q9" s="11" t="s">
        <v>2</v>
      </c>
      <c r="R9" s="11" t="s">
        <v>3</v>
      </c>
      <c r="S9" s="11" t="s">
        <v>4</v>
      </c>
      <c r="T9" s="11" t="s">
        <v>3</v>
      </c>
      <c r="U9" s="11" t="s">
        <v>5</v>
      </c>
      <c r="V9" s="11" t="s">
        <v>6</v>
      </c>
      <c r="W9" s="11" t="s">
        <v>6</v>
      </c>
      <c r="X9" s="9"/>
      <c r="Y9" s="26"/>
      <c r="Z9" s="19"/>
      <c r="AA9" s="47"/>
      <c r="AB9" s="48"/>
      <c r="AC9" s="11" t="s">
        <v>2</v>
      </c>
      <c r="AD9" s="11" t="s">
        <v>3</v>
      </c>
      <c r="AE9" s="11" t="s">
        <v>4</v>
      </c>
      <c r="AF9" s="11" t="s">
        <v>3</v>
      </c>
      <c r="AG9" s="11" t="s">
        <v>5</v>
      </c>
      <c r="AH9" s="11" t="s">
        <v>6</v>
      </c>
      <c r="AI9" s="11" t="s">
        <v>6</v>
      </c>
      <c r="AJ9" s="9"/>
      <c r="AK9" s="26"/>
    </row>
    <row r="10" spans="1:37" ht="19.95" customHeight="1" thickTop="1" thickBot="1" x14ac:dyDescent="0.35">
      <c r="A10" s="25"/>
      <c r="B10" s="25"/>
      <c r="C10" s="58"/>
      <c r="D10" s="58"/>
      <c r="E10" s="29"/>
      <c r="F10" s="29"/>
      <c r="G10" s="29"/>
      <c r="H10" s="29"/>
      <c r="I10" s="25"/>
      <c r="J10" s="25"/>
      <c r="K10" s="25"/>
      <c r="L10" s="26"/>
      <c r="M10" s="26"/>
      <c r="N10" s="19"/>
      <c r="O10" s="47" t="s">
        <v>0</v>
      </c>
      <c r="P10" s="48"/>
      <c r="Q10" s="11" t="str">
        <f>IF(OR(ISNUMBER(SEARCH("Monday", O7)), ISNUMBER(SEARCH("week", O7)), AND(ISNUMBER(SEARCH("custom", O7)), ISNUMBER(SEARCH("Mon", R7)))), "▣", "")</f>
        <v>▣</v>
      </c>
      <c r="R10" s="11" t="str">
        <f>IF(OR(ISNUMBER(SEARCH("Tuesday", O7)), ISNUMBER(SEARCH("week", O7)), AND(ISNUMBER(SEARCH("custom", O7)), ISNUMBER(SEARCH("Tue", R7)))), "▣", "")</f>
        <v>▣</v>
      </c>
      <c r="S10" s="11" t="str">
        <f>IF(OR(ISNUMBER(SEARCH("Wednesday", O7)), ISNUMBER(SEARCH("week", O7)), AND(ISNUMBER(SEARCH("custom", O7)), ISNUMBER(SEARCH("Wed", R7)))), "▣", "")</f>
        <v>▣</v>
      </c>
      <c r="T10" s="11" t="str">
        <f>IF(OR(ISNUMBER(SEARCH("Thursday", O7)), ISNUMBER(SEARCH("week", O7)), AND(ISNUMBER(SEARCH("custom", O7)), ISNUMBER(SEARCH("Thu", R7)))), "▣", "")</f>
        <v>▣</v>
      </c>
      <c r="U10" s="11" t="str">
        <f>IF(OR(ISNUMBER(SEARCH("Friday", O7)), ISNUMBER(SEARCH("week", O7)), AND(ISNUMBER(SEARCH("custom", O7)), ISNUMBER(SEARCH("Fri", R7)))), "▣", "")</f>
        <v>▣</v>
      </c>
      <c r="V10" s="11" t="str">
        <f>IF(OR(ISNUMBER(SEARCH("Saturday", O7)), ISNUMBER(SEARCH("week", O7)), AND(ISNUMBER(SEARCH("custom", O7)), ISNUMBER(SEARCH("Sat", R7)))), "▣", "")</f>
        <v/>
      </c>
      <c r="W10" s="11" t="str">
        <f>IF(OR(ISNUMBER(SEARCH("Sunday", O7)), ISNUMBER(SEARCH("week", O7)), AND(ISNUMBER(SEARCH("custom", O7)), ISNUMBER(SEARCH("Sun", R7)))), "▣", "")</f>
        <v/>
      </c>
      <c r="X10" s="9"/>
      <c r="Y10" s="26"/>
      <c r="Z10" s="19"/>
      <c r="AA10" s="47" t="s">
        <v>0</v>
      </c>
      <c r="AB10" s="48"/>
      <c r="AC10" s="11" t="str">
        <f>IF(OR(ISNUMBER(SEARCH("Monday", AA7)), ISNUMBER(SEARCH("week", AA7)), AND(ISNUMBER(SEARCH("custom", AA7)), ISNUMBER(SEARCH("Mon", AD7)))), "▣", "")</f>
        <v>▣</v>
      </c>
      <c r="AD10" s="11" t="str">
        <f>IF(OR(ISNUMBER(SEARCH("Tuesday", AA7)), ISNUMBER(SEARCH("week", AA7)), AND(ISNUMBER(SEARCH("custom", AA7)), ISNUMBER(SEARCH("Tue", AD7)))), "▣", "")</f>
        <v>▣</v>
      </c>
      <c r="AE10" s="11" t="str">
        <f>IF(OR(ISNUMBER(SEARCH("Wednesday", AA7)), ISNUMBER(SEARCH("week", AA7)), AND(ISNUMBER(SEARCH("custom", AA7)), ISNUMBER(SEARCH("Wed", AD7)))), "▣", "")</f>
        <v>▣</v>
      </c>
      <c r="AF10" s="11" t="str">
        <f>IF(OR(ISNUMBER(SEARCH("Thursday", AA7)), ISNUMBER(SEARCH("week", AA7)), AND(ISNUMBER(SEARCH("custom", AA7)), ISNUMBER(SEARCH("Thu", AD7)))), "▣", "")</f>
        <v>▣</v>
      </c>
      <c r="AG10" s="11" t="str">
        <f>IF(OR(ISNUMBER(SEARCH("Friday", AA7)), ISNUMBER(SEARCH("week", AA7)), AND(ISNUMBER(SEARCH("custom", AA7)), ISNUMBER(SEARCH("Fri", AD7)))), "▣", "")</f>
        <v>▣</v>
      </c>
      <c r="AH10" s="11" t="str">
        <f>IF(OR(ISNUMBER(SEARCH("Saturday", AA7)), ISNUMBER(SEARCH("week", AA7)), AND(ISNUMBER(SEARCH("custom", AA7)), ISNUMBER(SEARCH("Sat", AD7)))), "▣", "")</f>
        <v>▣</v>
      </c>
      <c r="AI10" s="11" t="str">
        <f>IF(OR(ISNUMBER(SEARCH("Sunday", AA7)), ISNUMBER(SEARCH("week", AA7)), AND(ISNUMBER(SEARCH("custom", AA7)), ISNUMBER(SEARCH("Sun", AD7)))), "▣", "")</f>
        <v>▣</v>
      </c>
      <c r="AJ10" s="9"/>
      <c r="AK10" s="26"/>
    </row>
    <row r="11" spans="1:37" ht="19.95" customHeight="1" thickTop="1" thickBot="1" x14ac:dyDescent="0.35">
      <c r="A11" s="25"/>
      <c r="B11" s="25"/>
      <c r="C11" s="57" t="s">
        <v>22</v>
      </c>
      <c r="D11" s="57"/>
      <c r="E11" s="57"/>
      <c r="F11" s="57"/>
      <c r="G11" s="57"/>
      <c r="H11" s="57"/>
      <c r="I11" s="56">
        <f>IFERROR(I9/J9,0)</f>
        <v>0.26923076923076922</v>
      </c>
      <c r="J11" s="56"/>
      <c r="K11" s="56"/>
      <c r="L11" s="26"/>
      <c r="M11" s="26"/>
      <c r="N11" s="19"/>
      <c r="O11" s="47" t="s">
        <v>1</v>
      </c>
      <c r="P11" s="48"/>
      <c r="Q11" s="11" t="s">
        <v>7</v>
      </c>
      <c r="R11" s="11" t="s">
        <v>7</v>
      </c>
      <c r="S11" s="11"/>
      <c r="T11" s="11"/>
      <c r="U11" s="11"/>
      <c r="V11" s="11"/>
      <c r="W11" s="11"/>
      <c r="X11" s="9"/>
      <c r="Y11" s="26"/>
      <c r="Z11" s="19"/>
      <c r="AA11" s="47" t="s">
        <v>1</v>
      </c>
      <c r="AB11" s="48"/>
      <c r="AC11" s="11" t="s">
        <v>7</v>
      </c>
      <c r="AD11" s="11" t="s">
        <v>7</v>
      </c>
      <c r="AE11" s="11"/>
      <c r="AF11" s="11"/>
      <c r="AG11" s="11"/>
      <c r="AH11" s="11"/>
      <c r="AI11" s="11"/>
      <c r="AJ11" s="9"/>
      <c r="AK11" s="26"/>
    </row>
    <row r="12" spans="1:37" ht="7.2" customHeight="1" thickTop="1" x14ac:dyDescent="0.3">
      <c r="A12" s="25"/>
      <c r="B12" s="25"/>
      <c r="C12" s="25"/>
      <c r="D12" s="27"/>
      <c r="E12" s="25"/>
      <c r="F12" s="25"/>
      <c r="G12" s="25"/>
      <c r="H12" s="25"/>
      <c r="I12" s="25"/>
      <c r="J12" s="25"/>
      <c r="K12" s="25"/>
      <c r="L12" s="25"/>
      <c r="M12" s="25"/>
      <c r="N12" s="19"/>
      <c r="O12" s="12"/>
      <c r="P12" s="21"/>
      <c r="Q12" s="12"/>
      <c r="R12" s="12"/>
      <c r="S12" s="12"/>
      <c r="T12" s="12"/>
      <c r="U12" s="12"/>
      <c r="V12" s="12"/>
      <c r="W12" s="12"/>
      <c r="X12" s="10"/>
      <c r="Y12" s="25"/>
      <c r="Z12" s="19"/>
      <c r="AA12" s="12"/>
      <c r="AB12" s="21"/>
      <c r="AC12" s="12"/>
      <c r="AD12" s="12"/>
      <c r="AE12" s="12"/>
      <c r="AF12" s="12"/>
      <c r="AG12" s="12"/>
      <c r="AH12" s="12"/>
      <c r="AI12" s="12"/>
      <c r="AJ12" s="10"/>
      <c r="AK12" s="25"/>
    </row>
    <row r="13" spans="1:37" ht="19.95" customHeight="1" x14ac:dyDescent="0.3">
      <c r="A13" s="25"/>
      <c r="B13" s="25"/>
      <c r="C13" s="40">
        <f>I11</f>
        <v>0.26923076923076922</v>
      </c>
      <c r="D13" s="41"/>
      <c r="E13" s="41"/>
      <c r="F13" s="41"/>
      <c r="G13" s="41"/>
      <c r="H13" s="41"/>
      <c r="I13" s="41"/>
      <c r="J13" s="41"/>
      <c r="K13" s="41"/>
      <c r="L13" s="42"/>
      <c r="M13" s="25"/>
      <c r="N13" s="19"/>
      <c r="O13" s="49" t="str">
        <f ca="1">IF(OFFSET(Q10,0,'Helper Data'!$B$2-1)="▣", IF(OFFSET(Q11,0,'Helper Data'!$B$2-1)="X","✅ Completed Today","❎ Not completed today"), "⚫ Not Assigned Today")</f>
        <v>✅ Completed Today</v>
      </c>
      <c r="P13" s="49"/>
      <c r="Q13" s="49"/>
      <c r="R13" s="49"/>
      <c r="S13" s="49"/>
      <c r="T13" s="36" t="str">
        <f>V8&amp;" out of "&amp;W8</f>
        <v>2 out of 5</v>
      </c>
      <c r="U13" s="36"/>
      <c r="V13" s="36"/>
      <c r="W13" s="36"/>
      <c r="X13" s="10"/>
      <c r="Y13" s="25"/>
      <c r="Z13" s="19"/>
      <c r="AA13" s="49" t="str">
        <f ca="1">IF(OFFSET(AC10,0,'Helper Data'!$B$2-1)="▣", IF(OFFSET(AC11,0,'Helper Data'!$B$2-1)="X","✅ Completed Today","❎ Not completed today"), "⚫ Not Assigned Today")</f>
        <v>✅ Completed Today</v>
      </c>
      <c r="AB13" s="49"/>
      <c r="AC13" s="49"/>
      <c r="AD13" s="49"/>
      <c r="AE13" s="49"/>
      <c r="AF13" s="36" t="str">
        <f>AH8&amp;" out of "&amp;AI8</f>
        <v>2 out of 7</v>
      </c>
      <c r="AG13" s="36"/>
      <c r="AH13" s="36"/>
      <c r="AI13" s="36"/>
      <c r="AJ13" s="10"/>
      <c r="AK13" s="25"/>
    </row>
    <row r="14" spans="1:37" ht="6.6" customHeight="1" x14ac:dyDescent="0.3">
      <c r="A14" s="25"/>
      <c r="B14" s="25"/>
      <c r="C14" s="43"/>
      <c r="D14" s="44"/>
      <c r="E14" s="44"/>
      <c r="F14" s="44"/>
      <c r="G14" s="44"/>
      <c r="H14" s="44"/>
      <c r="I14" s="44"/>
      <c r="J14" s="44"/>
      <c r="K14" s="44"/>
      <c r="L14" s="45"/>
      <c r="M14" s="25"/>
      <c r="N14" s="22"/>
      <c r="O14" s="6"/>
      <c r="P14" s="7"/>
      <c r="Q14" s="6"/>
      <c r="R14" s="6"/>
      <c r="S14" s="6"/>
      <c r="T14" s="6"/>
      <c r="U14" s="6"/>
      <c r="V14" s="6"/>
      <c r="W14" s="6"/>
      <c r="X14" s="23"/>
      <c r="Y14" s="25"/>
      <c r="Z14" s="22"/>
      <c r="AA14" s="6"/>
      <c r="AB14" s="7"/>
      <c r="AC14" s="6"/>
      <c r="AD14" s="6"/>
      <c r="AE14" s="6"/>
      <c r="AF14" s="6"/>
      <c r="AG14" s="6"/>
      <c r="AH14" s="6"/>
      <c r="AI14" s="6"/>
      <c r="AJ14" s="23"/>
      <c r="AK14" s="25"/>
    </row>
    <row r="15" spans="1:37" ht="19.95" customHeight="1" x14ac:dyDescent="0.3">
      <c r="A15" s="25"/>
      <c r="B15" s="25"/>
      <c r="C15" s="25"/>
      <c r="D15" s="27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7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7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ht="6.6" customHeight="1" x14ac:dyDescent="0.3">
      <c r="A16" s="25"/>
      <c r="B16" s="16"/>
      <c r="C16" s="17"/>
      <c r="D16" s="18"/>
      <c r="E16" s="17"/>
      <c r="F16" s="17"/>
      <c r="G16" s="17"/>
      <c r="H16" s="17"/>
      <c r="I16" s="17"/>
      <c r="J16" s="17"/>
      <c r="K16" s="17"/>
      <c r="L16" s="8"/>
      <c r="M16" s="25"/>
      <c r="N16" s="16"/>
      <c r="O16" s="17"/>
      <c r="P16" s="18"/>
      <c r="Q16" s="17"/>
      <c r="R16" s="17"/>
      <c r="S16" s="17"/>
      <c r="T16" s="17"/>
      <c r="U16" s="17"/>
      <c r="V16" s="17"/>
      <c r="W16" s="17"/>
      <c r="X16" s="8"/>
      <c r="Y16" s="25"/>
      <c r="Z16" s="16"/>
      <c r="AA16" s="17"/>
      <c r="AB16" s="18"/>
      <c r="AC16" s="17"/>
      <c r="AD16" s="17"/>
      <c r="AE16" s="17"/>
      <c r="AF16" s="17"/>
      <c r="AG16" s="17"/>
      <c r="AH16" s="17"/>
      <c r="AI16" s="17"/>
      <c r="AJ16" s="8"/>
      <c r="AK16" s="25"/>
    </row>
    <row r="17" spans="1:37" ht="19.95" customHeight="1" x14ac:dyDescent="0.3">
      <c r="A17" s="25"/>
      <c r="B17" s="19"/>
      <c r="C17" s="32" t="s">
        <v>28</v>
      </c>
      <c r="D17" s="50" t="s">
        <v>27</v>
      </c>
      <c r="E17" s="50"/>
      <c r="F17" s="50"/>
      <c r="G17" s="50"/>
      <c r="H17" s="50"/>
      <c r="I17" s="50"/>
      <c r="J17" s="50"/>
      <c r="K17" s="50"/>
      <c r="L17" s="9"/>
      <c r="M17" s="26"/>
      <c r="N17" s="19"/>
      <c r="O17" s="32" t="s">
        <v>29</v>
      </c>
      <c r="P17" s="50" t="s">
        <v>38</v>
      </c>
      <c r="Q17" s="50"/>
      <c r="R17" s="50"/>
      <c r="S17" s="50"/>
      <c r="T17" s="50"/>
      <c r="U17" s="50"/>
      <c r="V17" s="50"/>
      <c r="W17" s="50"/>
      <c r="X17" s="9"/>
      <c r="Y17" s="26"/>
      <c r="Z17" s="19"/>
      <c r="AA17" s="32" t="s">
        <v>31</v>
      </c>
      <c r="AB17" s="50" t="s">
        <v>30</v>
      </c>
      <c r="AC17" s="50"/>
      <c r="AD17" s="50"/>
      <c r="AE17" s="50"/>
      <c r="AF17" s="50"/>
      <c r="AG17" s="50"/>
      <c r="AH17" s="50"/>
      <c r="AI17" s="50"/>
      <c r="AJ17" s="9"/>
      <c r="AK17" s="26"/>
    </row>
    <row r="18" spans="1:37" ht="7.8" customHeight="1" x14ac:dyDescent="0.3">
      <c r="A18" s="25"/>
      <c r="B18" s="19"/>
      <c r="C18" s="13"/>
      <c r="D18" s="20"/>
      <c r="E18" s="13"/>
      <c r="F18" s="13"/>
      <c r="G18" s="13"/>
      <c r="H18" s="13"/>
      <c r="I18" s="13"/>
      <c r="J18" s="13"/>
      <c r="K18" s="13"/>
      <c r="L18" s="9"/>
      <c r="M18" s="26"/>
      <c r="N18" s="19"/>
      <c r="O18" s="13"/>
      <c r="P18" s="20"/>
      <c r="Q18" s="13"/>
      <c r="R18" s="13"/>
      <c r="S18" s="13"/>
      <c r="T18" s="13"/>
      <c r="U18" s="13"/>
      <c r="V18" s="13"/>
      <c r="W18" s="13"/>
      <c r="X18" s="9"/>
      <c r="Y18" s="26"/>
      <c r="Z18" s="19"/>
      <c r="AA18" s="13"/>
      <c r="AB18" s="20"/>
      <c r="AC18" s="13"/>
      <c r="AD18" s="13"/>
      <c r="AE18" s="13"/>
      <c r="AF18" s="13"/>
      <c r="AG18" s="13"/>
      <c r="AH18" s="13"/>
      <c r="AI18" s="13"/>
      <c r="AJ18" s="9"/>
      <c r="AK18" s="26"/>
    </row>
    <row r="19" spans="1:37" ht="19.95" customHeight="1" x14ac:dyDescent="0.3">
      <c r="A19" s="25"/>
      <c r="B19" s="19"/>
      <c r="C19" s="51" t="s">
        <v>11</v>
      </c>
      <c r="D19" s="52"/>
      <c r="E19" s="53"/>
      <c r="F19" s="54"/>
      <c r="G19" s="55"/>
      <c r="H19" s="55"/>
      <c r="I19" s="55"/>
      <c r="J19" s="55"/>
      <c r="K19" s="55"/>
      <c r="L19" s="9"/>
      <c r="M19" s="26"/>
      <c r="N19" s="19"/>
      <c r="O19" s="51" t="s">
        <v>15</v>
      </c>
      <c r="P19" s="52"/>
      <c r="Q19" s="53"/>
      <c r="R19" s="54" t="s">
        <v>18</v>
      </c>
      <c r="S19" s="55"/>
      <c r="T19" s="55"/>
      <c r="U19" s="55"/>
      <c r="V19" s="55"/>
      <c r="W19" s="55"/>
      <c r="X19" s="9"/>
      <c r="Y19" s="26"/>
      <c r="Z19" s="19"/>
      <c r="AA19" s="51" t="s">
        <v>12</v>
      </c>
      <c r="AB19" s="52"/>
      <c r="AC19" s="53"/>
      <c r="AD19" s="54"/>
      <c r="AE19" s="55"/>
      <c r="AF19" s="55"/>
      <c r="AG19" s="55"/>
      <c r="AH19" s="55"/>
      <c r="AI19" s="55"/>
      <c r="AJ19" s="9"/>
      <c r="AK19" s="26"/>
    </row>
    <row r="20" spans="1:37" ht="12" customHeight="1" thickBot="1" x14ac:dyDescent="0.35">
      <c r="A20" s="25"/>
      <c r="B20" s="19"/>
      <c r="C20" s="14"/>
      <c r="D20" s="15"/>
      <c r="E20" s="14"/>
      <c r="F20" s="14"/>
      <c r="G20" s="13"/>
      <c r="H20" s="13"/>
      <c r="I20" s="13"/>
      <c r="J20" s="24">
        <f>COUNTIF(E23:K23,"X")</f>
        <v>1</v>
      </c>
      <c r="K20" s="24">
        <f>COUNTIF(E22:K22,"▣")</f>
        <v>1</v>
      </c>
      <c r="L20" s="9"/>
      <c r="M20" s="26"/>
      <c r="N20" s="19"/>
      <c r="O20" s="14"/>
      <c r="P20" s="15"/>
      <c r="Q20" s="14"/>
      <c r="R20" s="14"/>
      <c r="S20" s="13"/>
      <c r="T20" s="13"/>
      <c r="U20" s="13"/>
      <c r="V20" s="24">
        <f>COUNTIF(Q23:W23,"X")</f>
        <v>0</v>
      </c>
      <c r="W20" s="24">
        <f>COUNTIF(Q22:W22,"▣")</f>
        <v>3</v>
      </c>
      <c r="X20" s="9"/>
      <c r="Y20" s="26"/>
      <c r="Z20" s="19"/>
      <c r="AA20" s="14"/>
      <c r="AB20" s="15"/>
      <c r="AC20" s="14"/>
      <c r="AD20" s="14"/>
      <c r="AE20" s="13"/>
      <c r="AF20" s="13"/>
      <c r="AG20" s="13"/>
      <c r="AH20" s="24">
        <f>COUNTIF(AC23:AI23,"X")</f>
        <v>0</v>
      </c>
      <c r="AI20" s="24">
        <f>COUNTIF(AC22:AI22,"▣")</f>
        <v>1</v>
      </c>
      <c r="AJ20" s="9"/>
      <c r="AK20" s="26"/>
    </row>
    <row r="21" spans="1:37" ht="19.95" customHeight="1" thickTop="1" thickBot="1" x14ac:dyDescent="0.35">
      <c r="A21" s="25"/>
      <c r="B21" s="19"/>
      <c r="C21" s="47"/>
      <c r="D21" s="48"/>
      <c r="E21" s="11" t="s">
        <v>2</v>
      </c>
      <c r="F21" s="11" t="s">
        <v>3</v>
      </c>
      <c r="G21" s="11" t="s">
        <v>4</v>
      </c>
      <c r="H21" s="11" t="s">
        <v>3</v>
      </c>
      <c r="I21" s="11" t="s">
        <v>5</v>
      </c>
      <c r="J21" s="11" t="s">
        <v>6</v>
      </c>
      <c r="K21" s="11" t="s">
        <v>6</v>
      </c>
      <c r="L21" s="9"/>
      <c r="M21" s="26"/>
      <c r="N21" s="19"/>
      <c r="O21" s="47"/>
      <c r="P21" s="48"/>
      <c r="Q21" s="11" t="s">
        <v>2</v>
      </c>
      <c r="R21" s="11" t="s">
        <v>3</v>
      </c>
      <c r="S21" s="11" t="s">
        <v>4</v>
      </c>
      <c r="T21" s="11" t="s">
        <v>3</v>
      </c>
      <c r="U21" s="11" t="s">
        <v>5</v>
      </c>
      <c r="V21" s="11" t="s">
        <v>6</v>
      </c>
      <c r="W21" s="11" t="s">
        <v>6</v>
      </c>
      <c r="X21" s="9"/>
      <c r="Y21" s="26"/>
      <c r="Z21" s="19"/>
      <c r="AA21" s="47"/>
      <c r="AB21" s="48"/>
      <c r="AC21" s="11" t="s">
        <v>2</v>
      </c>
      <c r="AD21" s="11" t="s">
        <v>3</v>
      </c>
      <c r="AE21" s="11" t="s">
        <v>4</v>
      </c>
      <c r="AF21" s="11" t="s">
        <v>3</v>
      </c>
      <c r="AG21" s="11" t="s">
        <v>5</v>
      </c>
      <c r="AH21" s="11" t="s">
        <v>6</v>
      </c>
      <c r="AI21" s="11" t="s">
        <v>6</v>
      </c>
      <c r="AJ21" s="9"/>
      <c r="AK21" s="26"/>
    </row>
    <row r="22" spans="1:37" ht="19.95" customHeight="1" thickTop="1" thickBot="1" x14ac:dyDescent="0.35">
      <c r="A22" s="25"/>
      <c r="B22" s="19"/>
      <c r="C22" s="47" t="s">
        <v>0</v>
      </c>
      <c r="D22" s="48"/>
      <c r="E22" s="11" t="str">
        <f>IF(OR(ISNUMBER(SEARCH("Monday", C19)), ISNUMBER(SEARCH("week", C19)), AND(ISNUMBER(SEARCH("custom", C19)), ISNUMBER(SEARCH("Mon", F19)))), "▣", "")</f>
        <v>▣</v>
      </c>
      <c r="F22" s="11" t="str">
        <f>IF(OR(ISNUMBER(SEARCH("Tuesday", C19)), ISNUMBER(SEARCH("week", C19)), AND(ISNUMBER(SEARCH("custom", C19)), ISNUMBER(SEARCH("Tue", F19)))), "▣", "")</f>
        <v/>
      </c>
      <c r="G22" s="11" t="str">
        <f>IF(OR(ISNUMBER(SEARCH("Wednesday", C19)), ISNUMBER(SEARCH("week", C19)), AND(ISNUMBER(SEARCH("custom", C19)), ISNUMBER(SEARCH("Wed", F19)))), "▣", "")</f>
        <v/>
      </c>
      <c r="H22" s="11" t="str">
        <f>IF(OR(ISNUMBER(SEARCH("Thursday", C19)), ISNUMBER(SEARCH("week", C19)), AND(ISNUMBER(SEARCH("custom", C19)), ISNUMBER(SEARCH("Thu", F19)))), "▣", "")</f>
        <v/>
      </c>
      <c r="I22" s="11" t="str">
        <f>IF(OR(ISNUMBER(SEARCH("Friday", C19)), ISNUMBER(SEARCH("week", C19)), AND(ISNUMBER(SEARCH("custom", C19)), ISNUMBER(SEARCH("Fri", F19)))), "▣", "")</f>
        <v/>
      </c>
      <c r="J22" s="11" t="str">
        <f>IF(OR(ISNUMBER(SEARCH("Saturday", C19)), ISNUMBER(SEARCH("week", C19)), AND(ISNUMBER(SEARCH("custom", C19)), ISNUMBER(SEARCH("Sat", F19)))), "▣", "")</f>
        <v/>
      </c>
      <c r="K22" s="11" t="str">
        <f>IF(OR(ISNUMBER(SEARCH("Sunday", C19)), ISNUMBER(SEARCH("week", C19)), AND(ISNUMBER(SEARCH("custom", C19)), ISNUMBER(SEARCH("Sun", F19)))), "▣", "")</f>
        <v/>
      </c>
      <c r="L22" s="9"/>
      <c r="M22" s="26"/>
      <c r="N22" s="19"/>
      <c r="O22" s="47" t="s">
        <v>0</v>
      </c>
      <c r="P22" s="48"/>
      <c r="Q22" s="11" t="str">
        <f>IF(OR(ISNUMBER(SEARCH("Monday", O19)), ISNUMBER(SEARCH("week", O19)), AND(ISNUMBER(SEARCH("custom", O19)), ISNUMBER(SEARCH("Mon", R19)))), "▣", "")</f>
        <v/>
      </c>
      <c r="R22" s="11" t="str">
        <f>IF(OR(ISNUMBER(SEARCH("Tuesday", O19)), ISNUMBER(SEARCH("week", O19)), AND(ISNUMBER(SEARCH("custom", O19)), ISNUMBER(SEARCH("Tue", R19)))), "▣", "")</f>
        <v>▣</v>
      </c>
      <c r="S22" s="11" t="str">
        <f>IF(OR(ISNUMBER(SEARCH("Wednesday", O19)), ISNUMBER(SEARCH("week", O19)), AND(ISNUMBER(SEARCH("custom", O19)), ISNUMBER(SEARCH("Wed", R19)))), "▣", "")</f>
        <v/>
      </c>
      <c r="T22" s="11" t="str">
        <f>IF(OR(ISNUMBER(SEARCH("Thursday", O19)), ISNUMBER(SEARCH("week", O19)), AND(ISNUMBER(SEARCH("custom", O19)), ISNUMBER(SEARCH("Thu", R19)))), "▣", "")</f>
        <v>▣</v>
      </c>
      <c r="U22" s="11" t="str">
        <f>IF(OR(ISNUMBER(SEARCH("Friday", O19)), ISNUMBER(SEARCH("week", O19)), AND(ISNUMBER(SEARCH("custom", O19)), ISNUMBER(SEARCH("Fri", R19)))), "▣", "")</f>
        <v/>
      </c>
      <c r="V22" s="11" t="str">
        <f>IF(OR(ISNUMBER(SEARCH("Saturday", O19)), ISNUMBER(SEARCH("week", O19)), AND(ISNUMBER(SEARCH("custom", O19)), ISNUMBER(SEARCH("Sat", R19)))), "▣", "")</f>
        <v>▣</v>
      </c>
      <c r="W22" s="11" t="str">
        <f>IF(OR(ISNUMBER(SEARCH("Sunday", O19)), ISNUMBER(SEARCH("week", O19)), AND(ISNUMBER(SEARCH("custom", O19)), ISNUMBER(SEARCH("Sun", R19)))), "▣", "")</f>
        <v/>
      </c>
      <c r="X22" s="9"/>
      <c r="Y22" s="26"/>
      <c r="Z22" s="19"/>
      <c r="AA22" s="47" t="s">
        <v>0</v>
      </c>
      <c r="AB22" s="48"/>
      <c r="AC22" s="11" t="str">
        <f>IF(OR(ISNUMBER(SEARCH("Monday", AA19)), ISNUMBER(SEARCH("week", AA19)), AND(ISNUMBER(SEARCH("custom", AA19)), ISNUMBER(SEARCH("Mon", AD19)))), "▣", "")</f>
        <v/>
      </c>
      <c r="AD22" s="11" t="str">
        <f>IF(OR(ISNUMBER(SEARCH("Tuesday", AA19)), ISNUMBER(SEARCH("week", AA19)), AND(ISNUMBER(SEARCH("custom", AA19)), ISNUMBER(SEARCH("Tue", AD19)))), "▣", "")</f>
        <v/>
      </c>
      <c r="AE22" s="11" t="str">
        <f>IF(OR(ISNUMBER(SEARCH("Wednesday", AA19)), ISNUMBER(SEARCH("week", AA19)), AND(ISNUMBER(SEARCH("custom", AA19)), ISNUMBER(SEARCH("Wed", AD19)))), "▣", "")</f>
        <v>▣</v>
      </c>
      <c r="AF22" s="11" t="str">
        <f>IF(OR(ISNUMBER(SEARCH("Thursday", AA19)), ISNUMBER(SEARCH("week", AA19)), AND(ISNUMBER(SEARCH("custom", AA19)), ISNUMBER(SEARCH("Thu", AD19)))), "▣", "")</f>
        <v/>
      </c>
      <c r="AG22" s="11" t="str">
        <f>IF(OR(ISNUMBER(SEARCH("Friday", AA19)), ISNUMBER(SEARCH("week", AA19)), AND(ISNUMBER(SEARCH("custom", AA19)), ISNUMBER(SEARCH("Fri", AD19)))), "▣", "")</f>
        <v/>
      </c>
      <c r="AH22" s="11" t="str">
        <f>IF(OR(ISNUMBER(SEARCH("Saturday", AA19)), ISNUMBER(SEARCH("week", AA19)), AND(ISNUMBER(SEARCH("custom", AA19)), ISNUMBER(SEARCH("Sat", AD19)))), "▣", "")</f>
        <v/>
      </c>
      <c r="AI22" s="11" t="str">
        <f>IF(OR(ISNUMBER(SEARCH("Sunday", AA19)), ISNUMBER(SEARCH("week", AA19)), AND(ISNUMBER(SEARCH("custom", AA19)), ISNUMBER(SEARCH("Sun", AD19)))), "▣", "")</f>
        <v/>
      </c>
      <c r="AJ22" s="9"/>
      <c r="AK22" s="26"/>
    </row>
    <row r="23" spans="1:37" ht="19.95" customHeight="1" thickTop="1" thickBot="1" x14ac:dyDescent="0.35">
      <c r="A23" s="25"/>
      <c r="B23" s="19"/>
      <c r="C23" s="47" t="s">
        <v>1</v>
      </c>
      <c r="D23" s="48"/>
      <c r="E23" s="11" t="s">
        <v>7</v>
      </c>
      <c r="F23" s="11"/>
      <c r="G23" s="11"/>
      <c r="H23" s="11"/>
      <c r="I23" s="11"/>
      <c r="J23" s="11"/>
      <c r="K23" s="11"/>
      <c r="L23" s="9"/>
      <c r="M23" s="26"/>
      <c r="N23" s="19"/>
      <c r="O23" s="47" t="s">
        <v>1</v>
      </c>
      <c r="P23" s="48"/>
      <c r="Q23" s="11"/>
      <c r="R23" s="11"/>
      <c r="S23" s="11"/>
      <c r="T23" s="11"/>
      <c r="U23" s="11"/>
      <c r="V23" s="11"/>
      <c r="W23" s="11"/>
      <c r="X23" s="9"/>
      <c r="Y23" s="26"/>
      <c r="Z23" s="19"/>
      <c r="AA23" s="47" t="s">
        <v>1</v>
      </c>
      <c r="AB23" s="48"/>
      <c r="AC23" s="11"/>
      <c r="AD23" s="11"/>
      <c r="AE23" s="11"/>
      <c r="AF23" s="11"/>
      <c r="AG23" s="11"/>
      <c r="AH23" s="11"/>
      <c r="AI23" s="11"/>
      <c r="AJ23" s="9"/>
      <c r="AK23" s="26"/>
    </row>
    <row r="24" spans="1:37" ht="7.2" customHeight="1" thickTop="1" x14ac:dyDescent="0.3">
      <c r="A24" s="25"/>
      <c r="B24" s="19"/>
      <c r="C24" s="12"/>
      <c r="D24" s="21"/>
      <c r="E24" s="12"/>
      <c r="F24" s="12"/>
      <c r="G24" s="12"/>
      <c r="H24" s="12"/>
      <c r="I24" s="12"/>
      <c r="J24" s="12"/>
      <c r="K24" s="12"/>
      <c r="L24" s="10"/>
      <c r="M24" s="25"/>
      <c r="N24" s="19"/>
      <c r="O24" s="12"/>
      <c r="P24" s="21"/>
      <c r="Q24" s="12"/>
      <c r="R24" s="12"/>
      <c r="S24" s="12"/>
      <c r="T24" s="12"/>
      <c r="U24" s="12"/>
      <c r="V24" s="12"/>
      <c r="W24" s="12"/>
      <c r="X24" s="10"/>
      <c r="Y24" s="25"/>
      <c r="Z24" s="19"/>
      <c r="AA24" s="12"/>
      <c r="AB24" s="21"/>
      <c r="AC24" s="12"/>
      <c r="AD24" s="12"/>
      <c r="AE24" s="12"/>
      <c r="AF24" s="12"/>
      <c r="AG24" s="12"/>
      <c r="AH24" s="12"/>
      <c r="AI24" s="12"/>
      <c r="AJ24" s="10"/>
      <c r="AK24" s="25"/>
    </row>
    <row r="25" spans="1:37" ht="19.95" customHeight="1" x14ac:dyDescent="0.3">
      <c r="A25" s="25"/>
      <c r="B25" s="19"/>
      <c r="C25" s="49" t="str">
        <f ca="1">IF(OFFSET(E22,0,'Helper Data'!$B$2-1)="▣", IF(OFFSET(E23,0,'Helper Data'!$B$2-1)="X","✅ Completed Today","❎ Not completed today"), "⚫ Not Assigned Today")</f>
        <v>✅ Completed Today</v>
      </c>
      <c r="D25" s="49"/>
      <c r="E25" s="49"/>
      <c r="F25" s="49"/>
      <c r="G25" s="49"/>
      <c r="H25" s="36" t="str">
        <f>J20&amp;" out of "&amp;K20</f>
        <v>1 out of 1</v>
      </c>
      <c r="I25" s="36"/>
      <c r="J25" s="36"/>
      <c r="K25" s="36"/>
      <c r="L25" s="10"/>
      <c r="M25" s="25"/>
      <c r="N25" s="19"/>
      <c r="O25" s="49" t="str">
        <f ca="1">IF(OFFSET(Q22,0,'Helper Data'!$B$2-1)="▣", IF(OFFSET(Q23,0,'Helper Data'!$B$2-1)="X","✅ Completed Today","❎ Not completed today"), "⚫ Not Assigned Today")</f>
        <v>⚫ Not Assigned Today</v>
      </c>
      <c r="P25" s="49"/>
      <c r="Q25" s="49"/>
      <c r="R25" s="49"/>
      <c r="S25" s="49"/>
      <c r="T25" s="36" t="str">
        <f>V20&amp;" out of "&amp;W20</f>
        <v>0 out of 3</v>
      </c>
      <c r="U25" s="36"/>
      <c r="V25" s="36"/>
      <c r="W25" s="36"/>
      <c r="X25" s="10"/>
      <c r="Y25" s="25"/>
      <c r="Z25" s="19"/>
      <c r="AA25" s="49" t="str">
        <f ca="1">IF(OFFSET(AC22,0,'Helper Data'!$B$2-1)="▣", IF(OFFSET(AC23,0,'Helper Data'!$B$2-1)="X","✅ Completed Today","❎ Not completed today"), "⚫ Not Assigned Today")</f>
        <v>⚫ Not Assigned Today</v>
      </c>
      <c r="AB25" s="49"/>
      <c r="AC25" s="49"/>
      <c r="AD25" s="49"/>
      <c r="AE25" s="49"/>
      <c r="AF25" s="36" t="str">
        <f>AH20&amp;" out of "&amp;AI20</f>
        <v>0 out of 1</v>
      </c>
      <c r="AG25" s="36"/>
      <c r="AH25" s="36"/>
      <c r="AI25" s="36"/>
      <c r="AJ25" s="10"/>
      <c r="AK25" s="25"/>
    </row>
    <row r="26" spans="1:37" ht="6.6" customHeight="1" x14ac:dyDescent="0.3">
      <c r="A26" s="25"/>
      <c r="B26" s="22"/>
      <c r="C26" s="6"/>
      <c r="D26" s="7"/>
      <c r="E26" s="6"/>
      <c r="F26" s="6"/>
      <c r="G26" s="6"/>
      <c r="H26" s="6"/>
      <c r="I26" s="6"/>
      <c r="J26" s="6"/>
      <c r="K26" s="6"/>
      <c r="L26" s="23"/>
      <c r="M26" s="25"/>
      <c r="N26" s="22"/>
      <c r="O26" s="6"/>
      <c r="P26" s="7"/>
      <c r="Q26" s="6"/>
      <c r="R26" s="6"/>
      <c r="S26" s="6"/>
      <c r="T26" s="6"/>
      <c r="U26" s="6"/>
      <c r="V26" s="6"/>
      <c r="W26" s="6"/>
      <c r="X26" s="23"/>
      <c r="Y26" s="25"/>
      <c r="Z26" s="22"/>
      <c r="AA26" s="6"/>
      <c r="AB26" s="7"/>
      <c r="AC26" s="6"/>
      <c r="AD26" s="6"/>
      <c r="AE26" s="6"/>
      <c r="AF26" s="6"/>
      <c r="AG26" s="6"/>
      <c r="AH26" s="6"/>
      <c r="AI26" s="6"/>
      <c r="AJ26" s="23"/>
      <c r="AK26" s="25"/>
    </row>
    <row r="27" spans="1:37" ht="19.95" customHeight="1" x14ac:dyDescent="0.3">
      <c r="A27" s="25"/>
      <c r="B27" s="25"/>
      <c r="C27" s="25"/>
      <c r="D27" s="27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7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 ht="6.6" customHeight="1" x14ac:dyDescent="0.3">
      <c r="A28" s="25"/>
      <c r="B28" s="16"/>
      <c r="C28" s="17"/>
      <c r="D28" s="18"/>
      <c r="E28" s="17"/>
      <c r="F28" s="17"/>
      <c r="G28" s="17"/>
      <c r="H28" s="17"/>
      <c r="I28" s="17"/>
      <c r="J28" s="17"/>
      <c r="K28" s="17"/>
      <c r="L28" s="8"/>
      <c r="M28" s="25"/>
      <c r="N28" s="16"/>
      <c r="O28" s="17"/>
      <c r="P28" s="18"/>
      <c r="Q28" s="17"/>
      <c r="R28" s="17"/>
      <c r="S28" s="17"/>
      <c r="T28" s="17"/>
      <c r="U28" s="17"/>
      <c r="V28" s="17"/>
      <c r="W28" s="17"/>
      <c r="X28" s="8"/>
      <c r="Y28" s="25"/>
      <c r="Z28" s="16"/>
      <c r="AA28" s="17"/>
      <c r="AB28" s="18"/>
      <c r="AC28" s="17"/>
      <c r="AD28" s="17"/>
      <c r="AE28" s="17"/>
      <c r="AF28" s="17"/>
      <c r="AG28" s="17"/>
      <c r="AH28" s="17"/>
      <c r="AI28" s="17"/>
      <c r="AJ28" s="8"/>
      <c r="AK28" s="25"/>
    </row>
    <row r="29" spans="1:37" ht="19.95" customHeight="1" x14ac:dyDescent="0.3">
      <c r="A29" s="25"/>
      <c r="B29" s="19"/>
      <c r="C29" s="32" t="s">
        <v>33</v>
      </c>
      <c r="D29" s="50" t="s">
        <v>32</v>
      </c>
      <c r="E29" s="50"/>
      <c r="F29" s="50"/>
      <c r="G29" s="50"/>
      <c r="H29" s="50"/>
      <c r="I29" s="50"/>
      <c r="J29" s="50"/>
      <c r="K29" s="50"/>
      <c r="L29" s="9"/>
      <c r="M29" s="26"/>
      <c r="N29" s="19"/>
      <c r="O29" s="32" t="s">
        <v>35</v>
      </c>
      <c r="P29" s="50" t="s">
        <v>34</v>
      </c>
      <c r="Q29" s="50"/>
      <c r="R29" s="50"/>
      <c r="S29" s="50"/>
      <c r="T29" s="50"/>
      <c r="U29" s="50"/>
      <c r="V29" s="50"/>
      <c r="W29" s="50"/>
      <c r="X29" s="9"/>
      <c r="Y29" s="26"/>
      <c r="Z29" s="19"/>
      <c r="AA29" s="32" t="s">
        <v>37</v>
      </c>
      <c r="AB29" s="50" t="s">
        <v>36</v>
      </c>
      <c r="AC29" s="50"/>
      <c r="AD29" s="50"/>
      <c r="AE29" s="50"/>
      <c r="AF29" s="50"/>
      <c r="AG29" s="50"/>
      <c r="AH29" s="50"/>
      <c r="AI29" s="50"/>
      <c r="AJ29" s="9"/>
      <c r="AK29" s="26"/>
    </row>
    <row r="30" spans="1:37" ht="7.8" customHeight="1" x14ac:dyDescent="0.3">
      <c r="A30" s="25"/>
      <c r="B30" s="19"/>
      <c r="C30" s="13"/>
      <c r="D30" s="20"/>
      <c r="E30" s="13"/>
      <c r="F30" s="13"/>
      <c r="G30" s="13"/>
      <c r="H30" s="13"/>
      <c r="I30" s="13"/>
      <c r="J30" s="13"/>
      <c r="K30" s="13"/>
      <c r="L30" s="9"/>
      <c r="M30" s="26"/>
      <c r="N30" s="19"/>
      <c r="O30" s="13"/>
      <c r="P30" s="20"/>
      <c r="Q30" s="13"/>
      <c r="R30" s="13"/>
      <c r="S30" s="13"/>
      <c r="T30" s="13"/>
      <c r="U30" s="13"/>
      <c r="V30" s="13"/>
      <c r="W30" s="13"/>
      <c r="X30" s="9"/>
      <c r="Y30" s="26"/>
      <c r="Z30" s="19"/>
      <c r="AA30" s="13"/>
      <c r="AB30" s="20"/>
      <c r="AC30" s="13"/>
      <c r="AD30" s="13"/>
      <c r="AE30" s="13"/>
      <c r="AF30" s="13"/>
      <c r="AG30" s="13"/>
      <c r="AH30" s="13"/>
      <c r="AI30" s="13"/>
      <c r="AJ30" s="9"/>
      <c r="AK30" s="26"/>
    </row>
    <row r="31" spans="1:37" ht="19.95" customHeight="1" x14ac:dyDescent="0.3">
      <c r="A31" s="25"/>
      <c r="B31" s="19"/>
      <c r="C31" s="51" t="s">
        <v>16</v>
      </c>
      <c r="D31" s="52"/>
      <c r="E31" s="53"/>
      <c r="F31" s="54"/>
      <c r="G31" s="55"/>
      <c r="H31" s="55"/>
      <c r="I31" s="55"/>
      <c r="J31" s="55"/>
      <c r="K31" s="55"/>
      <c r="L31" s="9"/>
      <c r="M31" s="26"/>
      <c r="N31" s="19"/>
      <c r="O31" s="51" t="s">
        <v>13</v>
      </c>
      <c r="P31" s="52"/>
      <c r="Q31" s="53"/>
      <c r="R31" s="54" t="s">
        <v>17</v>
      </c>
      <c r="S31" s="55"/>
      <c r="T31" s="55"/>
      <c r="U31" s="55"/>
      <c r="V31" s="55"/>
      <c r="W31" s="55"/>
      <c r="X31" s="9"/>
      <c r="Y31" s="26"/>
      <c r="Z31" s="19"/>
      <c r="AA31" s="51" t="s">
        <v>10</v>
      </c>
      <c r="AB31" s="52"/>
      <c r="AC31" s="53"/>
      <c r="AD31" s="54"/>
      <c r="AE31" s="55"/>
      <c r="AF31" s="55"/>
      <c r="AG31" s="55"/>
      <c r="AH31" s="55"/>
      <c r="AI31" s="55"/>
      <c r="AJ31" s="9"/>
      <c r="AK31" s="26"/>
    </row>
    <row r="32" spans="1:37" ht="12" customHeight="1" thickBot="1" x14ac:dyDescent="0.35">
      <c r="A32" s="25"/>
      <c r="B32" s="19"/>
      <c r="C32" s="14"/>
      <c r="D32" s="15"/>
      <c r="E32" s="14"/>
      <c r="F32" s="14"/>
      <c r="G32" s="13"/>
      <c r="H32" s="13"/>
      <c r="I32" s="13"/>
      <c r="J32" s="24">
        <f>COUNTIF(E35:K35,"X")</f>
        <v>0</v>
      </c>
      <c r="K32" s="24">
        <f>COUNTIF(E34:K34,"▣")</f>
        <v>1</v>
      </c>
      <c r="L32" s="9"/>
      <c r="M32" s="26"/>
      <c r="N32" s="19"/>
      <c r="O32" s="14"/>
      <c r="P32" s="15"/>
      <c r="Q32" s="14"/>
      <c r="R32" s="14"/>
      <c r="S32" s="13"/>
      <c r="T32" s="13"/>
      <c r="U32" s="13"/>
      <c r="V32" s="24">
        <f>COUNTIF(Q35:W35,"X")</f>
        <v>2</v>
      </c>
      <c r="W32" s="24">
        <f>COUNTIF(Q34:W34,"▣")</f>
        <v>7</v>
      </c>
      <c r="X32" s="9"/>
      <c r="Y32" s="26"/>
      <c r="Z32" s="19"/>
      <c r="AA32" s="14"/>
      <c r="AB32" s="15"/>
      <c r="AC32" s="14"/>
      <c r="AD32" s="14"/>
      <c r="AE32" s="13"/>
      <c r="AF32" s="13"/>
      <c r="AG32" s="13"/>
      <c r="AH32" s="24">
        <f>COUNTIF(AC35:AI35,"X")</f>
        <v>0</v>
      </c>
      <c r="AI32" s="24">
        <f>COUNTIF(AC34:AI34,"▣")</f>
        <v>1</v>
      </c>
      <c r="AJ32" s="9"/>
      <c r="AK32" s="26"/>
    </row>
    <row r="33" spans="1:37" ht="19.95" customHeight="1" thickTop="1" thickBot="1" x14ac:dyDescent="0.35">
      <c r="A33" s="25"/>
      <c r="B33" s="19"/>
      <c r="C33" s="47"/>
      <c r="D33" s="48"/>
      <c r="E33" s="11" t="s">
        <v>2</v>
      </c>
      <c r="F33" s="11" t="s">
        <v>3</v>
      </c>
      <c r="G33" s="11" t="s">
        <v>4</v>
      </c>
      <c r="H33" s="11" t="s">
        <v>3</v>
      </c>
      <c r="I33" s="11" t="s">
        <v>5</v>
      </c>
      <c r="J33" s="11" t="s">
        <v>6</v>
      </c>
      <c r="K33" s="11" t="s">
        <v>6</v>
      </c>
      <c r="L33" s="9"/>
      <c r="M33" s="26"/>
      <c r="N33" s="19"/>
      <c r="O33" s="47"/>
      <c r="P33" s="48"/>
      <c r="Q33" s="11" t="s">
        <v>2</v>
      </c>
      <c r="R33" s="11" t="s">
        <v>3</v>
      </c>
      <c r="S33" s="11" t="s">
        <v>4</v>
      </c>
      <c r="T33" s="11" t="s">
        <v>3</v>
      </c>
      <c r="U33" s="11" t="s">
        <v>5</v>
      </c>
      <c r="V33" s="11" t="s">
        <v>6</v>
      </c>
      <c r="W33" s="11" t="s">
        <v>6</v>
      </c>
      <c r="X33" s="9"/>
      <c r="Y33" s="26"/>
      <c r="Z33" s="19"/>
      <c r="AA33" s="47"/>
      <c r="AB33" s="48"/>
      <c r="AC33" s="11" t="s">
        <v>2</v>
      </c>
      <c r="AD33" s="11" t="s">
        <v>3</v>
      </c>
      <c r="AE33" s="11" t="s">
        <v>4</v>
      </c>
      <c r="AF33" s="11" t="s">
        <v>3</v>
      </c>
      <c r="AG33" s="11" t="s">
        <v>5</v>
      </c>
      <c r="AH33" s="11" t="s">
        <v>6</v>
      </c>
      <c r="AI33" s="11" t="s">
        <v>6</v>
      </c>
      <c r="AJ33" s="9"/>
      <c r="AK33" s="26"/>
    </row>
    <row r="34" spans="1:37" ht="19.95" customHeight="1" thickTop="1" thickBot="1" x14ac:dyDescent="0.35">
      <c r="A34" s="25"/>
      <c r="B34" s="19"/>
      <c r="C34" s="47" t="s">
        <v>0</v>
      </c>
      <c r="D34" s="48"/>
      <c r="E34" s="11" t="str">
        <f>IF(OR(ISNUMBER(SEARCH("Monday", C31)), ISNUMBER(SEARCH("week", C31)), AND(ISNUMBER(SEARCH("custom", C31)), ISNUMBER(SEARCH("Mon", F31)))), "▣", "")</f>
        <v/>
      </c>
      <c r="F34" s="11" t="str">
        <f>IF(OR(ISNUMBER(SEARCH("Tuesday", C31)), ISNUMBER(SEARCH("week", C31)), AND(ISNUMBER(SEARCH("custom", C31)), ISNUMBER(SEARCH("Tue", F31)))), "▣", "")</f>
        <v/>
      </c>
      <c r="G34" s="11" t="str">
        <f>IF(OR(ISNUMBER(SEARCH("Wednesday", C31)), ISNUMBER(SEARCH("week", C31)), AND(ISNUMBER(SEARCH("custom", C31)), ISNUMBER(SEARCH("Wed", F31)))), "▣", "")</f>
        <v/>
      </c>
      <c r="H34" s="11" t="str">
        <f>IF(OR(ISNUMBER(SEARCH("Thursday", C31)), ISNUMBER(SEARCH("week", C31)), AND(ISNUMBER(SEARCH("custom", C31)), ISNUMBER(SEARCH("Thu", F31)))), "▣", "")</f>
        <v>▣</v>
      </c>
      <c r="I34" s="11" t="str">
        <f>IF(OR(ISNUMBER(SEARCH("Friday", C31)), ISNUMBER(SEARCH("week", C31)), AND(ISNUMBER(SEARCH("custom", C31)), ISNUMBER(SEARCH("Fri", F31)))), "▣", "")</f>
        <v/>
      </c>
      <c r="J34" s="11" t="str">
        <f>IF(OR(ISNUMBER(SEARCH("Saturday", C31)), ISNUMBER(SEARCH("week", C31)), AND(ISNUMBER(SEARCH("custom", C31)), ISNUMBER(SEARCH("Sat", F31)))), "▣", "")</f>
        <v/>
      </c>
      <c r="K34" s="11" t="str">
        <f>IF(OR(ISNUMBER(SEARCH("Sunday", C31)), ISNUMBER(SEARCH("week", C31)), AND(ISNUMBER(SEARCH("custom", C31)), ISNUMBER(SEARCH("Sun", F31)))), "▣", "")</f>
        <v/>
      </c>
      <c r="L34" s="9"/>
      <c r="M34" s="26"/>
      <c r="N34" s="19"/>
      <c r="O34" s="47" t="s">
        <v>0</v>
      </c>
      <c r="P34" s="48"/>
      <c r="Q34" s="11" t="str">
        <f>IF(OR(ISNUMBER(SEARCH("Monday", O31)), ISNUMBER(SEARCH("week", O31)), AND(ISNUMBER(SEARCH("custom", O31)), ISNUMBER(SEARCH("Mon", R31)))), "▣", "")</f>
        <v>▣</v>
      </c>
      <c r="R34" s="11" t="str">
        <f>IF(OR(ISNUMBER(SEARCH("Tuesday", O31)), ISNUMBER(SEARCH("week", O31)), AND(ISNUMBER(SEARCH("custom", O31)), ISNUMBER(SEARCH("Tue", R31)))), "▣", "")</f>
        <v>▣</v>
      </c>
      <c r="S34" s="11" t="str">
        <f>IF(OR(ISNUMBER(SEARCH("Wednesday", O31)), ISNUMBER(SEARCH("week", O31)), AND(ISNUMBER(SEARCH("custom", O31)), ISNUMBER(SEARCH("Wed", R31)))), "▣", "")</f>
        <v>▣</v>
      </c>
      <c r="T34" s="11" t="str">
        <f>IF(OR(ISNUMBER(SEARCH("Thursday", O31)), ISNUMBER(SEARCH("week", O31)), AND(ISNUMBER(SEARCH("custom", O31)), ISNUMBER(SEARCH("Thu", R31)))), "▣", "")</f>
        <v>▣</v>
      </c>
      <c r="U34" s="11" t="str">
        <f>IF(OR(ISNUMBER(SEARCH("Friday", O31)), ISNUMBER(SEARCH("week", O31)), AND(ISNUMBER(SEARCH("custom", O31)), ISNUMBER(SEARCH("Fri", R31)))), "▣", "")</f>
        <v>▣</v>
      </c>
      <c r="V34" s="11" t="str">
        <f>IF(OR(ISNUMBER(SEARCH("Saturday", O31)), ISNUMBER(SEARCH("week", O31)), AND(ISNUMBER(SEARCH("custom", O31)), ISNUMBER(SEARCH("Sat", R31)))), "▣", "")</f>
        <v>▣</v>
      </c>
      <c r="W34" s="11" t="str">
        <f>IF(OR(ISNUMBER(SEARCH("Sunday", O31)), ISNUMBER(SEARCH("week", O31)), AND(ISNUMBER(SEARCH("custom", O31)), ISNUMBER(SEARCH("Sun", R31)))), "▣", "")</f>
        <v>▣</v>
      </c>
      <c r="X34" s="9"/>
      <c r="Y34" s="26"/>
      <c r="Z34" s="19"/>
      <c r="AA34" s="47" t="s">
        <v>0</v>
      </c>
      <c r="AB34" s="48"/>
      <c r="AC34" s="11" t="str">
        <f>IF(OR(ISNUMBER(SEARCH("Monday", AA31)), ISNUMBER(SEARCH("week", AA31)), AND(ISNUMBER(SEARCH("custom", AA31)), ISNUMBER(SEARCH("Mon", AD31)))), "▣", "")</f>
        <v/>
      </c>
      <c r="AD34" s="11" t="str">
        <f>IF(OR(ISNUMBER(SEARCH("Tuesday", AA31)), ISNUMBER(SEARCH("week", AA31)), AND(ISNUMBER(SEARCH("custom", AA31)), ISNUMBER(SEARCH("Tue", AD31)))), "▣", "")</f>
        <v>▣</v>
      </c>
      <c r="AE34" s="11" t="str">
        <f>IF(OR(ISNUMBER(SEARCH("Wednesday", AA31)), ISNUMBER(SEARCH("week", AA31)), AND(ISNUMBER(SEARCH("custom", AA31)), ISNUMBER(SEARCH("Wed", AD31)))), "▣", "")</f>
        <v/>
      </c>
      <c r="AF34" s="11" t="str">
        <f>IF(OR(ISNUMBER(SEARCH("Thursday", AA31)), ISNUMBER(SEARCH("week", AA31)), AND(ISNUMBER(SEARCH("custom", AA31)), ISNUMBER(SEARCH("Thu", AD31)))), "▣", "")</f>
        <v/>
      </c>
      <c r="AG34" s="11" t="str">
        <f>IF(OR(ISNUMBER(SEARCH("Friday", AA31)), ISNUMBER(SEARCH("week", AA31)), AND(ISNUMBER(SEARCH("custom", AA31)), ISNUMBER(SEARCH("Fri", AD31)))), "▣", "")</f>
        <v/>
      </c>
      <c r="AH34" s="11" t="str">
        <f>IF(OR(ISNUMBER(SEARCH("Saturday", AA31)), ISNUMBER(SEARCH("week", AA31)), AND(ISNUMBER(SEARCH("custom", AA31)), ISNUMBER(SEARCH("Sat", AD31)))), "▣", "")</f>
        <v/>
      </c>
      <c r="AI34" s="11" t="str">
        <f>IF(OR(ISNUMBER(SEARCH("Sunday", AA31)), ISNUMBER(SEARCH("week", AA31)), AND(ISNUMBER(SEARCH("custom", AA31)), ISNUMBER(SEARCH("Sun", AD31)))), "▣", "")</f>
        <v/>
      </c>
      <c r="AJ34" s="9"/>
      <c r="AK34" s="26"/>
    </row>
    <row r="35" spans="1:37" ht="19.95" customHeight="1" thickTop="1" thickBot="1" x14ac:dyDescent="0.35">
      <c r="A35" s="25"/>
      <c r="B35" s="19"/>
      <c r="C35" s="47" t="s">
        <v>1</v>
      </c>
      <c r="D35" s="48"/>
      <c r="E35" s="11"/>
      <c r="F35" s="11"/>
      <c r="G35" s="11"/>
      <c r="H35" s="11"/>
      <c r="I35" s="11"/>
      <c r="J35" s="11"/>
      <c r="K35" s="11"/>
      <c r="L35" s="9"/>
      <c r="M35" s="26"/>
      <c r="N35" s="19"/>
      <c r="O35" s="47" t="s">
        <v>1</v>
      </c>
      <c r="P35" s="48"/>
      <c r="Q35" s="11" t="s">
        <v>7</v>
      </c>
      <c r="R35" s="11" t="s">
        <v>7</v>
      </c>
      <c r="S35" s="11"/>
      <c r="T35" s="11"/>
      <c r="U35" s="11"/>
      <c r="V35" s="11"/>
      <c r="W35" s="11"/>
      <c r="X35" s="9"/>
      <c r="Y35" s="26"/>
      <c r="Z35" s="19"/>
      <c r="AA35" s="47" t="s">
        <v>1</v>
      </c>
      <c r="AB35" s="48"/>
      <c r="AC35" s="11"/>
      <c r="AD35" s="11"/>
      <c r="AE35" s="11"/>
      <c r="AF35" s="11"/>
      <c r="AG35" s="11"/>
      <c r="AH35" s="11"/>
      <c r="AI35" s="11"/>
      <c r="AJ35" s="9"/>
      <c r="AK35" s="26"/>
    </row>
    <row r="36" spans="1:37" ht="7.2" customHeight="1" thickTop="1" x14ac:dyDescent="0.3">
      <c r="A36" s="25"/>
      <c r="B36" s="19"/>
      <c r="C36" s="12"/>
      <c r="D36" s="21"/>
      <c r="E36" s="12"/>
      <c r="F36" s="12"/>
      <c r="G36" s="12"/>
      <c r="H36" s="12"/>
      <c r="I36" s="12"/>
      <c r="J36" s="12"/>
      <c r="K36" s="12"/>
      <c r="L36" s="10"/>
      <c r="M36" s="25"/>
      <c r="N36" s="19"/>
      <c r="O36" s="12"/>
      <c r="P36" s="21"/>
      <c r="Q36" s="12"/>
      <c r="R36" s="12"/>
      <c r="S36" s="12"/>
      <c r="T36" s="12"/>
      <c r="U36" s="12"/>
      <c r="V36" s="12"/>
      <c r="W36" s="12"/>
      <c r="X36" s="10"/>
      <c r="Y36" s="25"/>
      <c r="Z36" s="19"/>
      <c r="AA36" s="12"/>
      <c r="AB36" s="21"/>
      <c r="AC36" s="12"/>
      <c r="AD36" s="12"/>
      <c r="AE36" s="12"/>
      <c r="AF36" s="12"/>
      <c r="AG36" s="12"/>
      <c r="AH36" s="12"/>
      <c r="AI36" s="12"/>
      <c r="AJ36" s="10"/>
      <c r="AK36" s="25"/>
    </row>
    <row r="37" spans="1:37" ht="19.95" customHeight="1" x14ac:dyDescent="0.3">
      <c r="A37" s="25"/>
      <c r="B37" s="19"/>
      <c r="C37" s="49" t="str">
        <f ca="1">IF(OFFSET(E34,0,'Helper Data'!$B$2-1)="▣", IF(OFFSET(E35,0,'Helper Data'!$B$2-1)="X","✅ Completed Today","❎ Not completed today"), "⚫ Not Assigned Today")</f>
        <v>⚫ Not Assigned Today</v>
      </c>
      <c r="D37" s="49"/>
      <c r="E37" s="49"/>
      <c r="F37" s="49"/>
      <c r="G37" s="49"/>
      <c r="H37" s="36" t="str">
        <f>J32&amp;" out of "&amp;K32</f>
        <v>0 out of 1</v>
      </c>
      <c r="I37" s="36"/>
      <c r="J37" s="36"/>
      <c r="K37" s="36"/>
      <c r="L37" s="10"/>
      <c r="M37" s="25"/>
      <c r="N37" s="19"/>
      <c r="O37" s="49" t="str">
        <f ca="1">IF(OFFSET(Q34,0,'Helper Data'!$B$2-1)="▣", IF(OFFSET(Q35,0,'Helper Data'!$B$2-1)="X","✅ Completed Today","❎ Not completed today"), "⚫ Not Assigned Today")</f>
        <v>✅ Completed Today</v>
      </c>
      <c r="P37" s="49"/>
      <c r="Q37" s="49"/>
      <c r="R37" s="49"/>
      <c r="S37" s="49"/>
      <c r="T37" s="36" t="str">
        <f>V32&amp;" out of "&amp;W32</f>
        <v>2 out of 7</v>
      </c>
      <c r="U37" s="36"/>
      <c r="V37" s="36"/>
      <c r="W37" s="36"/>
      <c r="X37" s="10"/>
      <c r="Y37" s="25"/>
      <c r="Z37" s="19"/>
      <c r="AA37" s="49" t="str">
        <f ca="1">IF(OFFSET(AC34,0,'Helper Data'!$B$2-1)="▣", IF(OFFSET(AC35,0,'Helper Data'!$B$2-1)="X","✅ Completed Today","❎ Not completed today"), "⚫ Not Assigned Today")</f>
        <v>⚫ Not Assigned Today</v>
      </c>
      <c r="AB37" s="49"/>
      <c r="AC37" s="49"/>
      <c r="AD37" s="49"/>
      <c r="AE37" s="49"/>
      <c r="AF37" s="36" t="str">
        <f>AH32&amp;" out of "&amp;AI32</f>
        <v>0 out of 1</v>
      </c>
      <c r="AG37" s="36"/>
      <c r="AH37" s="36"/>
      <c r="AI37" s="36"/>
      <c r="AJ37" s="10"/>
      <c r="AK37" s="25"/>
    </row>
    <row r="38" spans="1:37" ht="6.6" customHeight="1" x14ac:dyDescent="0.3">
      <c r="A38" s="25"/>
      <c r="B38" s="22"/>
      <c r="C38" s="6"/>
      <c r="D38" s="7"/>
      <c r="E38" s="6"/>
      <c r="F38" s="6"/>
      <c r="G38" s="6"/>
      <c r="H38" s="6"/>
      <c r="I38" s="6"/>
      <c r="J38" s="6"/>
      <c r="K38" s="6"/>
      <c r="L38" s="23"/>
      <c r="M38" s="25"/>
      <c r="N38" s="22"/>
      <c r="O38" s="6"/>
      <c r="P38" s="7"/>
      <c r="Q38" s="6"/>
      <c r="R38" s="6"/>
      <c r="S38" s="6"/>
      <c r="T38" s="6"/>
      <c r="U38" s="6"/>
      <c r="V38" s="6"/>
      <c r="W38" s="6"/>
      <c r="X38" s="23"/>
      <c r="Y38" s="25"/>
      <c r="Z38" s="22"/>
      <c r="AA38" s="6"/>
      <c r="AB38" s="7"/>
      <c r="AC38" s="6"/>
      <c r="AD38" s="6"/>
      <c r="AE38" s="6"/>
      <c r="AF38" s="6"/>
      <c r="AG38" s="6"/>
      <c r="AH38" s="6"/>
      <c r="AI38" s="6"/>
      <c r="AJ38" s="23"/>
      <c r="AK38" s="25"/>
    </row>
    <row r="39" spans="1:37" ht="17.55" customHeight="1" x14ac:dyDescent="0.3">
      <c r="A39" s="25"/>
      <c r="B39" s="25"/>
      <c r="C39" s="25"/>
      <c r="D39" s="27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7"/>
      <c r="AC39" s="25"/>
      <c r="AD39" s="25"/>
      <c r="AE39" s="25"/>
      <c r="AF39" s="25"/>
      <c r="AG39" s="25"/>
      <c r="AH39" s="25"/>
      <c r="AI39" s="25"/>
      <c r="AJ39" s="25"/>
      <c r="AK39" s="25"/>
    </row>
  </sheetData>
  <mergeCells count="73">
    <mergeCell ref="I11:K11"/>
    <mergeCell ref="C11:H11"/>
    <mergeCell ref="P5:W5"/>
    <mergeCell ref="O7:Q7"/>
    <mergeCell ref="R7:W7"/>
    <mergeCell ref="O9:P9"/>
    <mergeCell ref="C10:D10"/>
    <mergeCell ref="O10:P10"/>
    <mergeCell ref="O11:P11"/>
    <mergeCell ref="O13:S13"/>
    <mergeCell ref="T13:W13"/>
    <mergeCell ref="AB5:AI5"/>
    <mergeCell ref="AA7:AC7"/>
    <mergeCell ref="AD7:AI7"/>
    <mergeCell ref="AA9:AB9"/>
    <mergeCell ref="AA10:AB10"/>
    <mergeCell ref="AA11:AB11"/>
    <mergeCell ref="AA13:AE13"/>
    <mergeCell ref="AF13:AI13"/>
    <mergeCell ref="D17:K17"/>
    <mergeCell ref="P17:W17"/>
    <mergeCell ref="AB17:AI17"/>
    <mergeCell ref="AD19:AI19"/>
    <mergeCell ref="C21:D21"/>
    <mergeCell ref="O21:P21"/>
    <mergeCell ref="AA21:AB21"/>
    <mergeCell ref="C22:D22"/>
    <mergeCell ref="O22:P22"/>
    <mergeCell ref="AA22:AB22"/>
    <mergeCell ref="C19:E19"/>
    <mergeCell ref="F19:K19"/>
    <mergeCell ref="O19:Q19"/>
    <mergeCell ref="R19:W19"/>
    <mergeCell ref="AA19:AC19"/>
    <mergeCell ref="C23:D23"/>
    <mergeCell ref="O23:P23"/>
    <mergeCell ref="AA23:AB23"/>
    <mergeCell ref="C25:G25"/>
    <mergeCell ref="H25:K25"/>
    <mergeCell ref="O25:S25"/>
    <mergeCell ref="T25:W25"/>
    <mergeCell ref="AA25:AE25"/>
    <mergeCell ref="AF25:AI25"/>
    <mergeCell ref="D29:K29"/>
    <mergeCell ref="P29:W29"/>
    <mergeCell ref="AB29:AI29"/>
    <mergeCell ref="C31:E31"/>
    <mergeCell ref="F31:K31"/>
    <mergeCell ref="O31:Q31"/>
    <mergeCell ref="R31:W31"/>
    <mergeCell ref="AA31:AC31"/>
    <mergeCell ref="AD31:AI31"/>
    <mergeCell ref="O33:P33"/>
    <mergeCell ref="AA33:AB33"/>
    <mergeCell ref="C34:D34"/>
    <mergeCell ref="O34:P34"/>
    <mergeCell ref="AA34:AB34"/>
    <mergeCell ref="N2:AJ2"/>
    <mergeCell ref="AF37:AI37"/>
    <mergeCell ref="B2:L3"/>
    <mergeCell ref="C4:L5"/>
    <mergeCell ref="C7:K8"/>
    <mergeCell ref="C13:L14"/>
    <mergeCell ref="C9:H9"/>
    <mergeCell ref="C35:D35"/>
    <mergeCell ref="O35:P35"/>
    <mergeCell ref="AA35:AB35"/>
    <mergeCell ref="C37:G37"/>
    <mergeCell ref="H37:K37"/>
    <mergeCell ref="O37:S37"/>
    <mergeCell ref="T37:W37"/>
    <mergeCell ref="AA37:AE37"/>
    <mergeCell ref="C33:D33"/>
  </mergeCells>
  <conditionalFormatting sqref="C25:G25">
    <cfRule type="expression" dxfId="15" priority="22">
      <formula>C25="❎ Not completed today"</formula>
    </cfRule>
    <cfRule type="expression" dxfId="14" priority="23">
      <formula>C25="✅ Completed Today"</formula>
    </cfRule>
  </conditionalFormatting>
  <conditionalFormatting sqref="C37:G37">
    <cfRule type="expression" dxfId="13" priority="10">
      <formula>C37="❎ Not completed today"</formula>
    </cfRule>
    <cfRule type="expression" dxfId="12" priority="11">
      <formula>C37="✅ Completed Today"</formula>
    </cfRule>
  </conditionalFormatting>
  <conditionalFormatting sqref="C13:L14">
    <cfRule type="dataBar" priority="1">
      <dataBar showValue="0">
        <cfvo type="num" val="0"/>
        <cfvo type="num" val="1"/>
        <color rgb="FFFFB900"/>
      </dataBar>
      <extLst>
        <ext xmlns:x14="http://schemas.microsoft.com/office/spreadsheetml/2009/9/main" uri="{B025F937-C7B1-47D3-B67F-A62EFF666E3E}">
          <x14:id>{43EC91C9-4FE1-49E5-A28C-CD14387CC20F}</x14:id>
        </ext>
      </extLst>
    </cfRule>
  </conditionalFormatting>
  <conditionalFormatting sqref="O13:S13">
    <cfRule type="expression" dxfId="11" priority="30">
      <formula>O13="❎ Not completed today"</formula>
    </cfRule>
    <cfRule type="expression" dxfId="10" priority="31">
      <formula>O13="✅ Completed Today"</formula>
    </cfRule>
  </conditionalFormatting>
  <conditionalFormatting sqref="O25:S25">
    <cfRule type="expression" dxfId="9" priority="18">
      <formula>O25="❎ Not completed today"</formula>
    </cfRule>
    <cfRule type="expression" dxfId="8" priority="19">
      <formula>O25="✅ Completed Today"</formula>
    </cfRule>
  </conditionalFormatting>
  <conditionalFormatting sqref="O37:S37">
    <cfRule type="expression" dxfId="7" priority="6">
      <formula>O37="❎ Not completed today"</formula>
    </cfRule>
    <cfRule type="expression" dxfId="6" priority="7">
      <formula>O37="✅ Completed Today"</formula>
    </cfRule>
  </conditionalFormatting>
  <conditionalFormatting sqref="AA13:AE13">
    <cfRule type="expression" dxfId="5" priority="26">
      <formula>AA13="❎ Not completed today"</formula>
    </cfRule>
    <cfRule type="expression" dxfId="4" priority="27">
      <formula>AA13="✅ Completed Today"</formula>
    </cfRule>
  </conditionalFormatting>
  <conditionalFormatting sqref="AA25:AE25">
    <cfRule type="expression" dxfId="3" priority="14">
      <formula>AA25="❎ Not completed today"</formula>
    </cfRule>
    <cfRule type="expression" dxfId="2" priority="15">
      <formula>AA25="✅ Completed Today"</formula>
    </cfRule>
  </conditionalFormatting>
  <conditionalFormatting sqref="AA37:AE37">
    <cfRule type="expression" dxfId="1" priority="2">
      <formula>AA37="❎ Not completed today"</formula>
    </cfRule>
    <cfRule type="expression" dxfId="0" priority="3">
      <formula>AA37="✅ Completed Today"</formula>
    </cfRule>
  </conditionalFormatting>
  <dataValidations count="1">
    <dataValidation type="list" allowBlank="1" showInputMessage="1" showErrorMessage="1" sqref="AA31:AC31 O7:Q7 AA7:AC7 C19:E19 O19:Q19 AA19:AC19 C31:E31 O31:Q31" xr:uid="{AE60946B-B6A6-4075-8CB8-EBF7A85A03A3}">
      <formula1>"Custom -&gt;, Complete Week, Only Monday, Only Tuesday, Only Wednesday, Only Thursday, Only Friday, Only Saturday, Only Sunday, Saturday &amp; Sunday"</formula1>
    </dataValidation>
  </dataValidations>
  <pageMargins left="0" right="0" top="0" bottom="0" header="0" footer="0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C91C9-4FE1-49E5-A28C-CD14387CC2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C13:L14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A032-9CE8-4813-9393-CCDEBEE8200B}">
  <dimension ref="A1:D4"/>
  <sheetViews>
    <sheetView workbookViewId="0">
      <selection activeCell="D3" sqref="D3"/>
    </sheetView>
  </sheetViews>
  <sheetFormatPr defaultRowHeight="13.2" x14ac:dyDescent="0.3"/>
  <cols>
    <col min="1" max="1" width="21.44140625" style="4" customWidth="1"/>
    <col min="2" max="2" width="13.88671875" style="4" customWidth="1"/>
    <col min="3" max="3" width="20.44140625" style="4" customWidth="1"/>
    <col min="4" max="4" width="13.77734375" style="4" customWidth="1"/>
    <col min="5" max="16384" width="8.88671875" style="4"/>
  </cols>
  <sheetData>
    <row r="1" spans="1:4" x14ac:dyDescent="0.3">
      <c r="A1" s="4" t="s">
        <v>8</v>
      </c>
      <c r="B1" s="3" t="s">
        <v>9</v>
      </c>
      <c r="C1" s="4" t="s">
        <v>21</v>
      </c>
    </row>
    <row r="2" spans="1:4" x14ac:dyDescent="0.3">
      <c r="A2" s="4" t="str">
        <f ca="1">TEXT(A3, "dddd")</f>
        <v>Monday</v>
      </c>
      <c r="B2" s="4">
        <f ca="1">WEEKDAY(A3, 2)</f>
        <v>1</v>
      </c>
      <c r="C2" s="4">
        <f ca="1">WEEKNUM(A3, 2)</f>
        <v>4</v>
      </c>
    </row>
    <row r="3" spans="1:4" x14ac:dyDescent="0.3">
      <c r="A3" s="5">
        <f ca="1">TODAY()</f>
        <v>46041</v>
      </c>
      <c r="C3" s="5">
        <f ca="1">A3 - WEEKDAY(A3, 2) + 1</f>
        <v>46041</v>
      </c>
      <c r="D3" s="4" t="str">
        <f ca="1">TEXT(C3,"mmmm dd")</f>
        <v>January 19</v>
      </c>
    </row>
    <row r="4" spans="1:4" x14ac:dyDescent="0.3">
      <c r="C4" s="5">
        <f ca="1">A3 + 7 - WEEKDAY(A3, 2)</f>
        <v>46047</v>
      </c>
      <c r="D4" s="4" t="str">
        <f ca="1">TEXT(C4,"mmmm dd")</f>
        <v>January 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CBC7-4CFA-4C65-AA35-4EA383901058}">
  <dimension ref="B6"/>
  <sheetViews>
    <sheetView workbookViewId="0">
      <selection activeCell="E29" sqref="E29"/>
    </sheetView>
  </sheetViews>
  <sheetFormatPr defaultRowHeight="14.4" x14ac:dyDescent="0.3"/>
  <cols>
    <col min="2" max="2" width="31.88671875" customWidth="1"/>
  </cols>
  <sheetData>
    <row r="6" spans="2:2" x14ac:dyDescent="0.3">
      <c r="B6" s="34" t="s">
        <v>39</v>
      </c>
    </row>
  </sheetData>
  <hyperlinks>
    <hyperlink ref="B6" r:id="rId1" xr:uid="{4EA53D3C-FB3D-42FB-A116-D0E88BEF45B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Habit Tracker</vt:lpstr>
      <vt:lpstr>Helper Data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Soham Karvekar</cp:lastModifiedBy>
  <cp:lastPrinted>2024-09-17T14:19:04Z</cp:lastPrinted>
  <dcterms:created xsi:type="dcterms:W3CDTF">2024-09-17T11:14:58Z</dcterms:created>
  <dcterms:modified xsi:type="dcterms:W3CDTF">2026-01-19T18:29:44Z</dcterms:modified>
</cp:coreProperties>
</file>